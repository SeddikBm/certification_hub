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vo\Documents\DEVOTEAM\formations\01_Excel_V9\fichiers_excel\"/>
    </mc:Choice>
  </mc:AlternateContent>
  <xr:revisionPtr revIDLastSave="0" documentId="13_ncr:1_{96C2625D-A661-4E99-8524-87CADEFBCA44}" xr6:coauthVersionLast="47" xr6:coauthVersionMax="47" xr10:uidLastSave="{00000000-0000-0000-0000-000000000000}"/>
  <bookViews>
    <workbookView xWindow="-28920" yWindow="-90" windowWidth="29040" windowHeight="15720" tabRatio="687" firstSheet="2" activeTab="2" xr2:uid="{00000000-000D-0000-FFFF-FFFF00000000}"/>
  </bookViews>
  <sheets>
    <sheet name="INSTRUCTIONS" sheetId="1" r:id="rId1"/>
    <sheet name="Parcours par Niveau" sheetId="2" r:id="rId2"/>
    <sheet name="Catalogue Enrichi" sheetId="3" r:id="rId3"/>
    <sheet name="Squad .NET" sheetId="4" r:id="rId4"/>
    <sheet name="Squad Java" sheetId="5" r:id="rId5"/>
    <sheet name="Squad DevOps" sheetId="6" r:id="rId6"/>
    <sheet name="Squad Data" sheetId="7" r:id="rId7"/>
    <sheet name="Squad QA-Testing" sheetId="8" r:id="rId8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1" i="4" l="1"/>
  <c r="H25" i="8"/>
  <c r="G25" i="8"/>
  <c r="F25" i="8"/>
  <c r="E25" i="8"/>
  <c r="D25" i="8"/>
  <c r="C25" i="8"/>
  <c r="B25" i="8"/>
  <c r="A25" i="8"/>
  <c r="H24" i="8"/>
  <c r="G24" i="8"/>
  <c r="F24" i="8"/>
  <c r="E24" i="8"/>
  <c r="D24" i="8"/>
  <c r="C24" i="8"/>
  <c r="B24" i="8"/>
  <c r="A24" i="8"/>
  <c r="H23" i="8"/>
  <c r="G23" i="8"/>
  <c r="F23" i="8"/>
  <c r="E23" i="8"/>
  <c r="D23" i="8"/>
  <c r="C23" i="8"/>
  <c r="B23" i="8"/>
  <c r="A23" i="8"/>
  <c r="H22" i="8"/>
  <c r="G22" i="8"/>
  <c r="F22" i="8"/>
  <c r="E22" i="8"/>
  <c r="D22" i="8"/>
  <c r="C22" i="8"/>
  <c r="B22" i="8"/>
  <c r="A22" i="8"/>
  <c r="H21" i="8"/>
  <c r="G21" i="8"/>
  <c r="F21" i="8"/>
  <c r="E21" i="8"/>
  <c r="D21" i="8"/>
  <c r="C21" i="8"/>
  <c r="B21" i="8"/>
  <c r="A21" i="8"/>
  <c r="H20" i="8"/>
  <c r="G20" i="8"/>
  <c r="F20" i="8"/>
  <c r="E20" i="8"/>
  <c r="D20" i="8"/>
  <c r="C20" i="8"/>
  <c r="B20" i="8"/>
  <c r="A20" i="8"/>
  <c r="H19" i="8"/>
  <c r="G19" i="8"/>
  <c r="F19" i="8"/>
  <c r="E19" i="8"/>
  <c r="D19" i="8"/>
  <c r="C19" i="8"/>
  <c r="B19" i="8"/>
  <c r="A19" i="8"/>
  <c r="H18" i="8"/>
  <c r="G18" i="8"/>
  <c r="F18" i="8"/>
  <c r="E18" i="8"/>
  <c r="D18" i="8"/>
  <c r="C18" i="8"/>
  <c r="B18" i="8"/>
  <c r="A18" i="8"/>
  <c r="H17" i="8"/>
  <c r="G17" i="8"/>
  <c r="F17" i="8"/>
  <c r="E17" i="8"/>
  <c r="D17" i="8"/>
  <c r="C17" i="8"/>
  <c r="B17" i="8"/>
  <c r="A17" i="8"/>
  <c r="H16" i="8"/>
  <c r="G16" i="8"/>
  <c r="F16" i="8"/>
  <c r="E16" i="8"/>
  <c r="D16" i="8"/>
  <c r="C16" i="8"/>
  <c r="B16" i="8"/>
  <c r="A16" i="8"/>
  <c r="H15" i="8"/>
  <c r="G15" i="8"/>
  <c r="F15" i="8"/>
  <c r="E15" i="8"/>
  <c r="D15" i="8"/>
  <c r="C15" i="8"/>
  <c r="B15" i="8"/>
  <c r="A15" i="8"/>
  <c r="H14" i="8"/>
  <c r="G14" i="8"/>
  <c r="F14" i="8"/>
  <c r="E14" i="8"/>
  <c r="D14" i="8"/>
  <c r="C14" i="8"/>
  <c r="B14" i="8"/>
  <c r="A14" i="8"/>
  <c r="H13" i="8"/>
  <c r="G13" i="8"/>
  <c r="F13" i="8"/>
  <c r="E13" i="8"/>
  <c r="D13" i="8"/>
  <c r="C13" i="8"/>
  <c r="B13" i="8"/>
  <c r="A13" i="8"/>
  <c r="H12" i="8"/>
  <c r="G12" i="8"/>
  <c r="F12" i="8"/>
  <c r="E12" i="8"/>
  <c r="D12" i="8"/>
  <c r="C12" i="8"/>
  <c r="B12" i="8"/>
  <c r="A12" i="8"/>
  <c r="H11" i="8"/>
  <c r="G11" i="8"/>
  <c r="F11" i="8"/>
  <c r="E11" i="8"/>
  <c r="D11" i="8"/>
  <c r="C11" i="8"/>
  <c r="B11" i="8"/>
  <c r="A11" i="8"/>
  <c r="H10" i="8"/>
  <c r="G10" i="8"/>
  <c r="F10" i="8"/>
  <c r="E10" i="8"/>
  <c r="D10" i="8"/>
  <c r="C10" i="8"/>
  <c r="B10" i="8"/>
  <c r="A10" i="8"/>
  <c r="H9" i="8"/>
  <c r="G9" i="8"/>
  <c r="F9" i="8"/>
  <c r="E9" i="8"/>
  <c r="D9" i="8"/>
  <c r="C9" i="8"/>
  <c r="B9" i="8"/>
  <c r="A9" i="8"/>
  <c r="H8" i="8"/>
  <c r="G8" i="8"/>
  <c r="F8" i="8"/>
  <c r="E8" i="8"/>
  <c r="D8" i="8"/>
  <c r="C8" i="8"/>
  <c r="B8" i="8"/>
  <c r="A8" i="8"/>
  <c r="H7" i="8"/>
  <c r="G7" i="8"/>
  <c r="F7" i="8"/>
  <c r="E7" i="8"/>
  <c r="D7" i="8"/>
  <c r="C7" i="8"/>
  <c r="B7" i="8"/>
  <c r="A7" i="8"/>
  <c r="H6" i="8"/>
  <c r="G6" i="8"/>
  <c r="F6" i="8"/>
  <c r="E6" i="8"/>
  <c r="D6" i="8"/>
  <c r="C6" i="8"/>
  <c r="B6" i="8"/>
  <c r="A6" i="8"/>
  <c r="H5" i="8"/>
  <c r="G5" i="8"/>
  <c r="F5" i="8"/>
  <c r="E5" i="8"/>
  <c r="D5" i="8"/>
  <c r="C5" i="8"/>
  <c r="B5" i="8"/>
  <c r="A5" i="8"/>
  <c r="H4" i="8"/>
  <c r="G4" i="8"/>
  <c r="F4" i="8"/>
  <c r="E4" i="8"/>
  <c r="D4" i="8"/>
  <c r="C4" i="8"/>
  <c r="B4" i="8"/>
  <c r="A4" i="8"/>
  <c r="H26" i="7"/>
  <c r="G26" i="7"/>
  <c r="F26" i="7"/>
  <c r="E26" i="7"/>
  <c r="D26" i="7"/>
  <c r="C26" i="7"/>
  <c r="B26" i="7"/>
  <c r="A26" i="7"/>
  <c r="H25" i="7"/>
  <c r="G25" i="7"/>
  <c r="F25" i="7"/>
  <c r="E25" i="7"/>
  <c r="D25" i="7"/>
  <c r="C25" i="7"/>
  <c r="B25" i="7"/>
  <c r="A25" i="7"/>
  <c r="H24" i="7"/>
  <c r="G24" i="7"/>
  <c r="F24" i="7"/>
  <c r="E24" i="7"/>
  <c r="D24" i="7"/>
  <c r="C24" i="7"/>
  <c r="B24" i="7"/>
  <c r="A24" i="7"/>
  <c r="H23" i="7"/>
  <c r="G23" i="7"/>
  <c r="F23" i="7"/>
  <c r="E23" i="7"/>
  <c r="D23" i="7"/>
  <c r="C23" i="7"/>
  <c r="B23" i="7"/>
  <c r="A23" i="7"/>
  <c r="H22" i="7"/>
  <c r="G22" i="7"/>
  <c r="F22" i="7"/>
  <c r="E22" i="7"/>
  <c r="D22" i="7"/>
  <c r="C22" i="7"/>
  <c r="B22" i="7"/>
  <c r="A22" i="7"/>
  <c r="H21" i="7"/>
  <c r="G21" i="7"/>
  <c r="F21" i="7"/>
  <c r="E21" i="7"/>
  <c r="D21" i="7"/>
  <c r="C21" i="7"/>
  <c r="B21" i="7"/>
  <c r="A21" i="7"/>
  <c r="H20" i="7"/>
  <c r="G20" i="7"/>
  <c r="F20" i="7"/>
  <c r="E20" i="7"/>
  <c r="D20" i="7"/>
  <c r="C20" i="7"/>
  <c r="B20" i="7"/>
  <c r="A20" i="7"/>
  <c r="H19" i="7"/>
  <c r="G19" i="7"/>
  <c r="F19" i="7"/>
  <c r="E19" i="7"/>
  <c r="D19" i="7"/>
  <c r="C19" i="7"/>
  <c r="B19" i="7"/>
  <c r="A19" i="7"/>
  <c r="H18" i="7"/>
  <c r="G18" i="7"/>
  <c r="F18" i="7"/>
  <c r="E18" i="7"/>
  <c r="D18" i="7"/>
  <c r="C18" i="7"/>
  <c r="B18" i="7"/>
  <c r="A18" i="7"/>
  <c r="H17" i="7"/>
  <c r="G17" i="7"/>
  <c r="F17" i="7"/>
  <c r="E17" i="7"/>
  <c r="D17" i="7"/>
  <c r="C17" i="7"/>
  <c r="B17" i="7"/>
  <c r="A17" i="7"/>
  <c r="H16" i="7"/>
  <c r="G16" i="7"/>
  <c r="F16" i="7"/>
  <c r="E16" i="7"/>
  <c r="D16" i="7"/>
  <c r="C16" i="7"/>
  <c r="B16" i="7"/>
  <c r="A16" i="7"/>
  <c r="H15" i="7"/>
  <c r="G15" i="7"/>
  <c r="F15" i="7"/>
  <c r="E15" i="7"/>
  <c r="D15" i="7"/>
  <c r="C15" i="7"/>
  <c r="B15" i="7"/>
  <c r="A15" i="7"/>
  <c r="H14" i="7"/>
  <c r="G14" i="7"/>
  <c r="F14" i="7"/>
  <c r="E14" i="7"/>
  <c r="D14" i="7"/>
  <c r="C14" i="7"/>
  <c r="B14" i="7"/>
  <c r="A14" i="7"/>
  <c r="H13" i="7"/>
  <c r="G13" i="7"/>
  <c r="F13" i="7"/>
  <c r="E13" i="7"/>
  <c r="D13" i="7"/>
  <c r="C13" i="7"/>
  <c r="B13" i="7"/>
  <c r="A13" i="7"/>
  <c r="H12" i="7"/>
  <c r="G12" i="7"/>
  <c r="F12" i="7"/>
  <c r="E12" i="7"/>
  <c r="D12" i="7"/>
  <c r="C12" i="7"/>
  <c r="B12" i="7"/>
  <c r="A12" i="7"/>
  <c r="H11" i="7"/>
  <c r="G11" i="7"/>
  <c r="F11" i="7"/>
  <c r="E11" i="7"/>
  <c r="D11" i="7"/>
  <c r="C11" i="7"/>
  <c r="B11" i="7"/>
  <c r="A11" i="7"/>
  <c r="H10" i="7"/>
  <c r="G10" i="7"/>
  <c r="F10" i="7"/>
  <c r="E10" i="7"/>
  <c r="D10" i="7"/>
  <c r="C10" i="7"/>
  <c r="B10" i="7"/>
  <c r="A10" i="7"/>
  <c r="H9" i="7"/>
  <c r="G9" i="7"/>
  <c r="F9" i="7"/>
  <c r="E9" i="7"/>
  <c r="D9" i="7"/>
  <c r="C9" i="7"/>
  <c r="B9" i="7"/>
  <c r="A9" i="7"/>
  <c r="H8" i="7"/>
  <c r="G8" i="7"/>
  <c r="F8" i="7"/>
  <c r="E8" i="7"/>
  <c r="D8" i="7"/>
  <c r="C8" i="7"/>
  <c r="B8" i="7"/>
  <c r="A8" i="7"/>
  <c r="H7" i="7"/>
  <c r="G7" i="7"/>
  <c r="F7" i="7"/>
  <c r="E7" i="7"/>
  <c r="D7" i="7"/>
  <c r="C7" i="7"/>
  <c r="B7" i="7"/>
  <c r="A7" i="7"/>
  <c r="H6" i="7"/>
  <c r="G6" i="7"/>
  <c r="F6" i="7"/>
  <c r="E6" i="7"/>
  <c r="D6" i="7"/>
  <c r="C6" i="7"/>
  <c r="B6" i="7"/>
  <c r="A6" i="7"/>
  <c r="H5" i="7"/>
  <c r="G5" i="7"/>
  <c r="F5" i="7"/>
  <c r="E5" i="7"/>
  <c r="D5" i="7"/>
  <c r="C5" i="7"/>
  <c r="B5" i="7"/>
  <c r="A5" i="7"/>
  <c r="H4" i="7"/>
  <c r="G4" i="7"/>
  <c r="F4" i="7"/>
  <c r="E4" i="7"/>
  <c r="D4" i="7"/>
  <c r="C4" i="7"/>
  <c r="B4" i="7"/>
  <c r="A4" i="7"/>
  <c r="H33" i="6"/>
  <c r="G33" i="6"/>
  <c r="F33" i="6"/>
  <c r="E33" i="6"/>
  <c r="D33" i="6"/>
  <c r="C33" i="6"/>
  <c r="B33" i="6"/>
  <c r="A33" i="6"/>
  <c r="H32" i="6"/>
  <c r="G32" i="6"/>
  <c r="F32" i="6"/>
  <c r="E32" i="6"/>
  <c r="D32" i="6"/>
  <c r="C32" i="6"/>
  <c r="B32" i="6"/>
  <c r="A32" i="6"/>
  <c r="H31" i="6"/>
  <c r="G31" i="6"/>
  <c r="F31" i="6"/>
  <c r="E31" i="6"/>
  <c r="D31" i="6"/>
  <c r="C31" i="6"/>
  <c r="B31" i="6"/>
  <c r="A31" i="6"/>
  <c r="H30" i="6"/>
  <c r="G30" i="6"/>
  <c r="F30" i="6"/>
  <c r="E30" i="6"/>
  <c r="D30" i="6"/>
  <c r="C30" i="6"/>
  <c r="B30" i="6"/>
  <c r="A30" i="6"/>
  <c r="H29" i="6"/>
  <c r="G29" i="6"/>
  <c r="F29" i="6"/>
  <c r="E29" i="6"/>
  <c r="D29" i="6"/>
  <c r="C29" i="6"/>
  <c r="B29" i="6"/>
  <c r="A29" i="6"/>
  <c r="H28" i="6"/>
  <c r="G28" i="6"/>
  <c r="F28" i="6"/>
  <c r="E28" i="6"/>
  <c r="D28" i="6"/>
  <c r="C28" i="6"/>
  <c r="B28" i="6"/>
  <c r="A28" i="6"/>
  <c r="H27" i="6"/>
  <c r="G27" i="6"/>
  <c r="F27" i="6"/>
  <c r="E27" i="6"/>
  <c r="D27" i="6"/>
  <c r="C27" i="6"/>
  <c r="B27" i="6"/>
  <c r="A27" i="6"/>
  <c r="H26" i="6"/>
  <c r="G26" i="6"/>
  <c r="F26" i="6"/>
  <c r="E26" i="6"/>
  <c r="D26" i="6"/>
  <c r="C26" i="6"/>
  <c r="B26" i="6"/>
  <c r="A26" i="6"/>
  <c r="H25" i="6"/>
  <c r="G25" i="6"/>
  <c r="F25" i="6"/>
  <c r="E25" i="6"/>
  <c r="D25" i="6"/>
  <c r="C25" i="6"/>
  <c r="B25" i="6"/>
  <c r="A25" i="6"/>
  <c r="H24" i="6"/>
  <c r="G24" i="6"/>
  <c r="F24" i="6"/>
  <c r="E24" i="6"/>
  <c r="D24" i="6"/>
  <c r="C24" i="6"/>
  <c r="B24" i="6"/>
  <c r="A24" i="6"/>
  <c r="H23" i="6"/>
  <c r="G23" i="6"/>
  <c r="F23" i="6"/>
  <c r="E23" i="6"/>
  <c r="D23" i="6"/>
  <c r="C23" i="6"/>
  <c r="B23" i="6"/>
  <c r="A23" i="6"/>
  <c r="H22" i="6"/>
  <c r="G22" i="6"/>
  <c r="F22" i="6"/>
  <c r="E22" i="6"/>
  <c r="D22" i="6"/>
  <c r="C22" i="6"/>
  <c r="B22" i="6"/>
  <c r="A22" i="6"/>
  <c r="H21" i="6"/>
  <c r="G21" i="6"/>
  <c r="F21" i="6"/>
  <c r="E21" i="6"/>
  <c r="D21" i="6"/>
  <c r="C21" i="6"/>
  <c r="B21" i="6"/>
  <c r="A21" i="6"/>
  <c r="H20" i="6"/>
  <c r="G20" i="6"/>
  <c r="F20" i="6"/>
  <c r="E20" i="6"/>
  <c r="D20" i="6"/>
  <c r="C20" i="6"/>
  <c r="B20" i="6"/>
  <c r="A20" i="6"/>
  <c r="H19" i="6"/>
  <c r="G19" i="6"/>
  <c r="F19" i="6"/>
  <c r="E19" i="6"/>
  <c r="D19" i="6"/>
  <c r="C19" i="6"/>
  <c r="B19" i="6"/>
  <c r="A19" i="6"/>
  <c r="H18" i="6"/>
  <c r="G18" i="6"/>
  <c r="F18" i="6"/>
  <c r="E18" i="6"/>
  <c r="D18" i="6"/>
  <c r="C18" i="6"/>
  <c r="B18" i="6"/>
  <c r="A18" i="6"/>
  <c r="H17" i="6"/>
  <c r="G17" i="6"/>
  <c r="F17" i="6"/>
  <c r="E17" i="6"/>
  <c r="D17" i="6"/>
  <c r="C17" i="6"/>
  <c r="B17" i="6"/>
  <c r="A17" i="6"/>
  <c r="H16" i="6"/>
  <c r="G16" i="6"/>
  <c r="F16" i="6"/>
  <c r="E16" i="6"/>
  <c r="D16" i="6"/>
  <c r="C16" i="6"/>
  <c r="B16" i="6"/>
  <c r="A16" i="6"/>
  <c r="H15" i="6"/>
  <c r="G15" i="6"/>
  <c r="F15" i="6"/>
  <c r="E15" i="6"/>
  <c r="D15" i="6"/>
  <c r="C15" i="6"/>
  <c r="B15" i="6"/>
  <c r="A15" i="6"/>
  <c r="H14" i="6"/>
  <c r="G14" i="6"/>
  <c r="F14" i="6"/>
  <c r="E14" i="6"/>
  <c r="D14" i="6"/>
  <c r="C14" i="6"/>
  <c r="B14" i="6"/>
  <c r="A14" i="6"/>
  <c r="H13" i="6"/>
  <c r="G13" i="6"/>
  <c r="F13" i="6"/>
  <c r="E13" i="6"/>
  <c r="D13" i="6"/>
  <c r="C13" i="6"/>
  <c r="B13" i="6"/>
  <c r="A13" i="6"/>
  <c r="H12" i="6"/>
  <c r="G12" i="6"/>
  <c r="F12" i="6"/>
  <c r="E12" i="6"/>
  <c r="D12" i="6"/>
  <c r="C12" i="6"/>
  <c r="B12" i="6"/>
  <c r="A12" i="6"/>
  <c r="H11" i="6"/>
  <c r="G11" i="6"/>
  <c r="F11" i="6"/>
  <c r="E11" i="6"/>
  <c r="D11" i="6"/>
  <c r="C11" i="6"/>
  <c r="B11" i="6"/>
  <c r="A11" i="6"/>
  <c r="H10" i="6"/>
  <c r="G10" i="6"/>
  <c r="F10" i="6"/>
  <c r="E10" i="6"/>
  <c r="D10" i="6"/>
  <c r="C10" i="6"/>
  <c r="B10" i="6"/>
  <c r="A10" i="6"/>
  <c r="H9" i="6"/>
  <c r="G9" i="6"/>
  <c r="F9" i="6"/>
  <c r="E9" i="6"/>
  <c r="D9" i="6"/>
  <c r="C9" i="6"/>
  <c r="B9" i="6"/>
  <c r="A9" i="6"/>
  <c r="H8" i="6"/>
  <c r="G8" i="6"/>
  <c r="F8" i="6"/>
  <c r="E8" i="6"/>
  <c r="D8" i="6"/>
  <c r="C8" i="6"/>
  <c r="B8" i="6"/>
  <c r="A8" i="6"/>
  <c r="H7" i="6"/>
  <c r="G7" i="6"/>
  <c r="F7" i="6"/>
  <c r="E7" i="6"/>
  <c r="D7" i="6"/>
  <c r="C7" i="6"/>
  <c r="B7" i="6"/>
  <c r="A7" i="6"/>
  <c r="H6" i="6"/>
  <c r="G6" i="6"/>
  <c r="F6" i="6"/>
  <c r="E6" i="6"/>
  <c r="D6" i="6"/>
  <c r="C6" i="6"/>
  <c r="B6" i="6"/>
  <c r="A6" i="6"/>
  <c r="H5" i="6"/>
  <c r="G5" i="6"/>
  <c r="F5" i="6"/>
  <c r="E5" i="6"/>
  <c r="D5" i="6"/>
  <c r="C5" i="6"/>
  <c r="B5" i="6"/>
  <c r="A5" i="6"/>
  <c r="H4" i="6"/>
  <c r="G4" i="6"/>
  <c r="F4" i="6"/>
  <c r="E4" i="6"/>
  <c r="D4" i="6"/>
  <c r="C4" i="6"/>
  <c r="B4" i="6"/>
  <c r="A4" i="6"/>
  <c r="H20" i="5"/>
  <c r="G20" i="5"/>
  <c r="F20" i="5"/>
  <c r="E20" i="5"/>
  <c r="D20" i="5"/>
  <c r="C20" i="5"/>
  <c r="B20" i="5"/>
  <c r="A20" i="5"/>
  <c r="H19" i="5"/>
  <c r="G19" i="5"/>
  <c r="F19" i="5"/>
  <c r="E19" i="5"/>
  <c r="D19" i="5"/>
  <c r="C19" i="5"/>
  <c r="B19" i="5"/>
  <c r="A19" i="5"/>
  <c r="H18" i="5"/>
  <c r="G18" i="5"/>
  <c r="F18" i="5"/>
  <c r="E18" i="5"/>
  <c r="D18" i="5"/>
  <c r="C18" i="5"/>
  <c r="B18" i="5"/>
  <c r="A18" i="5"/>
  <c r="H17" i="5"/>
  <c r="G17" i="5"/>
  <c r="F17" i="5"/>
  <c r="E17" i="5"/>
  <c r="D17" i="5"/>
  <c r="C17" i="5"/>
  <c r="B17" i="5"/>
  <c r="A17" i="5"/>
  <c r="H16" i="5"/>
  <c r="G16" i="5"/>
  <c r="F16" i="5"/>
  <c r="E16" i="5"/>
  <c r="D16" i="5"/>
  <c r="C16" i="5"/>
  <c r="B16" i="5"/>
  <c r="A16" i="5"/>
  <c r="H15" i="5"/>
  <c r="G15" i="5"/>
  <c r="F15" i="5"/>
  <c r="E15" i="5"/>
  <c r="D15" i="5"/>
  <c r="C15" i="5"/>
  <c r="B15" i="5"/>
  <c r="A15" i="5"/>
  <c r="H14" i="5"/>
  <c r="G14" i="5"/>
  <c r="F14" i="5"/>
  <c r="E14" i="5"/>
  <c r="D14" i="5"/>
  <c r="C14" i="5"/>
  <c r="B14" i="5"/>
  <c r="A14" i="5"/>
  <c r="H13" i="5"/>
  <c r="G13" i="5"/>
  <c r="F13" i="5"/>
  <c r="E13" i="5"/>
  <c r="D13" i="5"/>
  <c r="C13" i="5"/>
  <c r="B13" i="5"/>
  <c r="A13" i="5"/>
  <c r="H12" i="5"/>
  <c r="G12" i="5"/>
  <c r="F12" i="5"/>
  <c r="E12" i="5"/>
  <c r="D12" i="5"/>
  <c r="C12" i="5"/>
  <c r="B12" i="5"/>
  <c r="A12" i="5"/>
  <c r="H11" i="5"/>
  <c r="G11" i="5"/>
  <c r="F11" i="5"/>
  <c r="E11" i="5"/>
  <c r="D11" i="5"/>
  <c r="C11" i="5"/>
  <c r="B11" i="5"/>
  <c r="A11" i="5"/>
  <c r="H10" i="5"/>
  <c r="G10" i="5"/>
  <c r="F10" i="5"/>
  <c r="E10" i="5"/>
  <c r="D10" i="5"/>
  <c r="C10" i="5"/>
  <c r="B10" i="5"/>
  <c r="A10" i="5"/>
  <c r="H9" i="5"/>
  <c r="G9" i="5"/>
  <c r="F9" i="5"/>
  <c r="E9" i="5"/>
  <c r="D9" i="5"/>
  <c r="C9" i="5"/>
  <c r="B9" i="5"/>
  <c r="A9" i="5"/>
  <c r="H8" i="5"/>
  <c r="G8" i="5"/>
  <c r="F8" i="5"/>
  <c r="E8" i="5"/>
  <c r="D8" i="5"/>
  <c r="C8" i="5"/>
  <c r="B8" i="5"/>
  <c r="A8" i="5"/>
  <c r="H7" i="5"/>
  <c r="G7" i="5"/>
  <c r="F7" i="5"/>
  <c r="E7" i="5"/>
  <c r="D7" i="5"/>
  <c r="C7" i="5"/>
  <c r="B7" i="5"/>
  <c r="A7" i="5"/>
  <c r="H6" i="5"/>
  <c r="G6" i="5"/>
  <c r="F6" i="5"/>
  <c r="E6" i="5"/>
  <c r="D6" i="5"/>
  <c r="C6" i="5"/>
  <c r="B6" i="5"/>
  <c r="A6" i="5"/>
  <c r="H5" i="5"/>
  <c r="G5" i="5"/>
  <c r="F5" i="5"/>
  <c r="E5" i="5"/>
  <c r="D5" i="5"/>
  <c r="C5" i="5"/>
  <c r="B5" i="5"/>
  <c r="A5" i="5"/>
  <c r="H4" i="5"/>
  <c r="G4" i="5"/>
  <c r="F4" i="5"/>
  <c r="E4" i="5"/>
  <c r="D4" i="5"/>
  <c r="C4" i="5"/>
  <c r="B4" i="5"/>
  <c r="A4" i="5"/>
  <c r="H24" i="4"/>
  <c r="G24" i="4"/>
  <c r="F24" i="4"/>
  <c r="E24" i="4"/>
  <c r="D24" i="4"/>
  <c r="C24" i="4"/>
  <c r="B24" i="4"/>
  <c r="A24" i="4"/>
  <c r="H23" i="4"/>
  <c r="G23" i="4"/>
  <c r="F23" i="4"/>
  <c r="E23" i="4"/>
  <c r="D23" i="4"/>
  <c r="C23" i="4"/>
  <c r="B23" i="4"/>
  <c r="A23" i="4"/>
  <c r="H22" i="4"/>
  <c r="G22" i="4"/>
  <c r="F22" i="4"/>
  <c r="E22" i="4"/>
  <c r="D22" i="4"/>
  <c r="C22" i="4"/>
  <c r="B22" i="4"/>
  <c r="A22" i="4"/>
  <c r="H21" i="4"/>
  <c r="G21" i="4"/>
  <c r="F21" i="4"/>
  <c r="E21" i="4"/>
  <c r="D21" i="4"/>
  <c r="C21" i="4"/>
  <c r="B21" i="4"/>
  <c r="A21" i="4"/>
  <c r="H20" i="4"/>
  <c r="G20" i="4"/>
  <c r="F20" i="4"/>
  <c r="E20" i="4"/>
  <c r="D20" i="4"/>
  <c r="C20" i="4"/>
  <c r="B20" i="4"/>
  <c r="A20" i="4"/>
  <c r="H19" i="4"/>
  <c r="G19" i="4"/>
  <c r="F19" i="4"/>
  <c r="E19" i="4"/>
  <c r="D19" i="4"/>
  <c r="C19" i="4"/>
  <c r="B19" i="4"/>
  <c r="A19" i="4"/>
  <c r="H18" i="4"/>
  <c r="G18" i="4"/>
  <c r="F18" i="4"/>
  <c r="E18" i="4"/>
  <c r="D18" i="4"/>
  <c r="C18" i="4"/>
  <c r="B18" i="4"/>
  <c r="A18" i="4"/>
  <c r="H17" i="4"/>
  <c r="G17" i="4"/>
  <c r="F17" i="4"/>
  <c r="E17" i="4"/>
  <c r="D17" i="4"/>
  <c r="C17" i="4"/>
  <c r="B17" i="4"/>
  <c r="A17" i="4"/>
  <c r="H16" i="4"/>
  <c r="G16" i="4"/>
  <c r="F16" i="4"/>
  <c r="E16" i="4"/>
  <c r="D16" i="4"/>
  <c r="C16" i="4"/>
  <c r="B16" i="4"/>
  <c r="A16" i="4"/>
  <c r="H15" i="4"/>
  <c r="G15" i="4"/>
  <c r="F15" i="4"/>
  <c r="E15" i="4"/>
  <c r="D15" i="4"/>
  <c r="C15" i="4"/>
  <c r="B15" i="4"/>
  <c r="A15" i="4"/>
  <c r="H14" i="4"/>
  <c r="G14" i="4"/>
  <c r="F14" i="4"/>
  <c r="E14" i="4"/>
  <c r="D14" i="4"/>
  <c r="C14" i="4"/>
  <c r="B14" i="4"/>
  <c r="A14" i="4"/>
  <c r="H13" i="4"/>
  <c r="G13" i="4"/>
  <c r="F13" i="4"/>
  <c r="E13" i="4"/>
  <c r="D13" i="4"/>
  <c r="C13" i="4"/>
  <c r="B13" i="4"/>
  <c r="A13" i="4"/>
  <c r="H12" i="4"/>
  <c r="G12" i="4"/>
  <c r="F12" i="4"/>
  <c r="E12" i="4"/>
  <c r="C12" i="4"/>
  <c r="B12" i="4"/>
  <c r="A12" i="4"/>
  <c r="H11" i="4"/>
  <c r="G11" i="4"/>
  <c r="F11" i="4"/>
  <c r="E11" i="4"/>
  <c r="C11" i="4"/>
  <c r="B11" i="4"/>
  <c r="A11" i="4"/>
  <c r="H10" i="4"/>
  <c r="G10" i="4"/>
  <c r="F10" i="4"/>
  <c r="E10" i="4"/>
  <c r="D10" i="4"/>
  <c r="C10" i="4"/>
  <c r="B10" i="4"/>
  <c r="A10" i="4"/>
  <c r="H9" i="4"/>
  <c r="G9" i="4"/>
  <c r="F9" i="4"/>
  <c r="E9" i="4"/>
  <c r="D9" i="4"/>
  <c r="C9" i="4"/>
  <c r="B9" i="4"/>
  <c r="A9" i="4"/>
  <c r="H8" i="4"/>
  <c r="G8" i="4"/>
  <c r="F8" i="4"/>
  <c r="E8" i="4"/>
  <c r="D8" i="4"/>
  <c r="C8" i="4"/>
  <c r="B8" i="4"/>
  <c r="A8" i="4"/>
  <c r="H7" i="4"/>
  <c r="G7" i="4"/>
  <c r="F7" i="4"/>
  <c r="E7" i="4"/>
  <c r="D7" i="4"/>
  <c r="C7" i="4"/>
  <c r="B7" i="4"/>
  <c r="A7" i="4"/>
  <c r="H6" i="4"/>
  <c r="G6" i="4"/>
  <c r="F6" i="4"/>
  <c r="E6" i="4"/>
  <c r="D6" i="4"/>
  <c r="C6" i="4"/>
  <c r="B6" i="4"/>
  <c r="A6" i="4"/>
  <c r="H5" i="4"/>
  <c r="G5" i="4"/>
  <c r="F5" i="4"/>
  <c r="E5" i="4"/>
  <c r="D5" i="4"/>
  <c r="C5" i="4"/>
  <c r="B5" i="4"/>
  <c r="A5" i="4"/>
  <c r="H4" i="4"/>
  <c r="G4" i="4"/>
  <c r="F4" i="4"/>
  <c r="E4" i="4"/>
  <c r="D4" i="4"/>
  <c r="C4" i="4"/>
  <c r="B4" i="4"/>
  <c r="A4" i="4"/>
</calcChain>
</file>

<file path=xl/sharedStrings.xml><?xml version="1.0" encoding="utf-8"?>
<sst xmlns="http://schemas.openxmlformats.org/spreadsheetml/2006/main" count="907" uniqueCount="238">
  <si>
    <t>PLAN DE FORMATION IT 2025-2027 - PRODUCTION v1.0</t>
  </si>
  <si>
    <t>DATE DE CREATION</t>
  </si>
  <si>
    <t>VERSION</t>
  </si>
  <si>
    <t>CERTIFICATIONS</t>
  </si>
  <si>
    <t>COMMENT UTILISER CE FICHIER</t>
  </si>
  <si>
    <t>1. MODIFICATION DES DONNEES</t>
  </si>
  <si>
    <t xml:space="preserve">   - Toutes les modifications se font dans la feuille "Catalogue Enrichi"</t>
  </si>
  <si>
    <t xml:space="preserve">   - NE PAS modifier directement les feuilles Squad</t>
  </si>
  <si>
    <t xml:space="preserve">   - Utiliser les listes deroulantes pour Categorie, Niveau, Valeur</t>
  </si>
  <si>
    <t>2. AFFECTATION AUX SQUADS</t>
  </si>
  <si>
    <t xml:space="preserve">   - Colonne B "Squads Affectes" definit quelles squads voient cette certification</t>
  </si>
  <si>
    <t xml:space="preserve">   - Valeurs possibles:</t>
  </si>
  <si>
    <t xml:space="preserve">     * "Tous" = toutes les squads</t>
  </si>
  <si>
    <t xml:space="preserve">     * ".NET" = squad .NET uniquement</t>
  </si>
  <si>
    <t xml:space="preserve">     * "Data, .NET" = squads Data et .NET</t>
  </si>
  <si>
    <t xml:space="preserve">     * "DevOps, Data, .NET" = trois squads</t>
  </si>
  <si>
    <t>3. RAFRAICHIR LES VUES SQUAD</t>
  </si>
  <si>
    <t xml:space="preserve">   - Apres toute modification, cliquer sur le bouton "Rafraichir les Squads"</t>
  </si>
  <si>
    <t xml:space="preserve">   - Ou executer la macro: ALT+F8 &gt; RefreshAllSquads</t>
  </si>
  <si>
    <t>4. VALIDATION DES DONNEES</t>
  </si>
  <si>
    <t xml:space="preserve">   - Les colonnes Squad, Categorie, Niveau, Valeur ont des listes deroulantes</t>
  </si>
  <si>
    <t xml:space="preserve">   - Ne pas saisir de valeurs manuellement, utiliser les listes</t>
  </si>
  <si>
    <t>5. LIENS UDEMY ET OFFICIELS</t>
  </si>
  <si>
    <t xml:space="preserve">   - Colonne H: Liens vers formations Udemy</t>
  </si>
  <si>
    <t xml:space="preserve">   - Colonne I: Liens vers sites officiels de certification</t>
  </si>
  <si>
    <t xml:space="preserve">   - Pour modifier un lien: Clic droit &gt; Modifier le lien hypertexte</t>
  </si>
  <si>
    <t>FEUILLES DISPONIBLES</t>
  </si>
  <si>
    <t xml:space="preserve">   - INSTRUCTIONS: Ce guide (cette feuille)</t>
  </si>
  <si>
    <t xml:space="preserve">   - Parcours par Niveau: Vue des certifications par seniorite</t>
  </si>
  <si>
    <t xml:space="preserve">   - Catalogue Enrichi: SOURCE UNIQUE - Toutes les certifications</t>
  </si>
  <si>
    <t xml:space="preserve">   - Squad .NET: Vue filtree pour .NET</t>
  </si>
  <si>
    <t xml:space="preserve">   - Squad Java: Vue filtree pour Java</t>
  </si>
  <si>
    <t xml:space="preserve">   - Squad DevOps: Vue filtree pour DevOps</t>
  </si>
  <si>
    <t xml:space="preserve">   - Squad Data: Vue filtree pour Data</t>
  </si>
  <si>
    <t xml:space="preserve">   - Squad QA-Testing: Vue filtree pour QA/Testing</t>
  </si>
  <si>
    <t>SUPPORT</t>
  </si>
  <si>
    <t xml:space="preserve">   Documentation complete: Voir dossier documentation/</t>
  </si>
  <si>
    <t xml:space="preserve">   Contact: Devoteam Morocco IT Training Management</t>
  </si>
  <si>
    <t>PARCOURS DE CERTIFICATION PAR NIVEAU DE SENIORITE</t>
  </si>
  <si>
    <t>Certification</t>
  </si>
  <si>
    <t>Code</t>
  </si>
  <si>
    <t>Squad</t>
  </si>
  <si>
    <t>Heures</t>
  </si>
  <si>
    <t>Valeur</t>
  </si>
  <si>
    <t>JUNIOR (0-3 ans d'expérience)</t>
  </si>
  <si>
    <t>Professional Scrum Master I</t>
  </si>
  <si>
    <t>PSM-I</t>
  </si>
  <si>
    <t>Agile</t>
  </si>
  <si>
    <t>HAUTE</t>
  </si>
  <si>
    <t>Oracle Certified Professional: Java SE 21 Developer</t>
  </si>
  <si>
    <t>OCP-21</t>
  </si>
  <si>
    <t>Java</t>
  </si>
  <si>
    <t>Microsoft Azure Fundamentals</t>
  </si>
  <si>
    <t>AZ-900</t>
  </si>
  <si>
    <t>.NET</t>
  </si>
  <si>
    <t>Red Hat Certified System Administrator</t>
  </si>
  <si>
    <t>RHCSA</t>
  </si>
  <si>
    <t>DevOps</t>
  </si>
  <si>
    <t>Linux Foundation Certified System Administrator</t>
  </si>
  <si>
    <t>LFCS</t>
  </si>
  <si>
    <t>MOYENNE</t>
  </si>
  <si>
    <t>Microsoft Azure AI Fundamentals</t>
  </si>
  <si>
    <t>AI-900</t>
  </si>
  <si>
    <t>IA</t>
  </si>
  <si>
    <t>CompTIA Security+</t>
  </si>
  <si>
    <t>SY0-701</t>
  </si>
  <si>
    <t>Securite</t>
  </si>
  <si>
    <t>ISTQB Certified Tester Foundation Level</t>
  </si>
  <si>
    <t>CTFL</t>
  </si>
  <si>
    <t>QA-Testing</t>
  </si>
  <si>
    <t>Postman API Testing</t>
  </si>
  <si>
    <t>POSTMAN</t>
  </si>
  <si>
    <t>SENIOR (3-8 ans d'expérience)</t>
  </si>
  <si>
    <t>Professional Scrum Product Owner I</t>
  </si>
  <si>
    <t>PSPO-I</t>
  </si>
  <si>
    <t>ITIL 4 Foundation</t>
  </si>
  <si>
    <t>ITIL4-F</t>
  </si>
  <si>
    <t>Spring Professional Certification</t>
  </si>
  <si>
    <t>SPRING-PRO</t>
  </si>
  <si>
    <t>Microsoft Azure Developer Associate</t>
  </si>
  <si>
    <t>AZ-204</t>
  </si>
  <si>
    <t>Microsoft Azure Administrator Associate</t>
  </si>
  <si>
    <t>AZ-104</t>
  </si>
  <si>
    <t>VMware Certified Professional - DCV</t>
  </si>
  <si>
    <t>VCP-DCV</t>
  </si>
  <si>
    <t>Red Hat Certified Engineer</t>
  </si>
  <si>
    <t>RHCE</t>
  </si>
  <si>
    <t>GitLab Certified CI/CD Professional</t>
  </si>
  <si>
    <t>GITLAB-PROF</t>
  </si>
  <si>
    <t>Jenkins Engineer</t>
  </si>
  <si>
    <t>CJE</t>
  </si>
  <si>
    <t>Prometheus Certified Associate</t>
  </si>
  <si>
    <t>PCA</t>
  </si>
  <si>
    <t>Cisco CCNA</t>
  </si>
  <si>
    <t>CCNA</t>
  </si>
  <si>
    <t>Certified Kubernetes Application Developer</t>
  </si>
  <si>
    <t>CKAD</t>
  </si>
  <si>
    <t>Cloud</t>
  </si>
  <si>
    <t>HashiCorp Terraform Associate</t>
  </si>
  <si>
    <t>TERRAFORM-003</t>
  </si>
  <si>
    <t>AWS Solutions Architect Associate</t>
  </si>
  <si>
    <t>SAA-C03</t>
  </si>
  <si>
    <t>AWS Developer Associate</t>
  </si>
  <si>
    <t>DVA-C02</t>
  </si>
  <si>
    <t>Google Cloud Associate Engineer</t>
  </si>
  <si>
    <t>ACE</t>
  </si>
  <si>
    <t>Microsoft Azure AI Engineer Associate</t>
  </si>
  <si>
    <t>AI-102</t>
  </si>
  <si>
    <t>Databricks Certified Data Engineer Associate</t>
  </si>
  <si>
    <t>DCEA</t>
  </si>
  <si>
    <t>Data</t>
  </si>
  <si>
    <t>Apache Kafka Developer</t>
  </si>
  <si>
    <t>KAFKA-DEV</t>
  </si>
  <si>
    <t>Apache Spark Developer</t>
  </si>
  <si>
    <t>SPARK-DEV</t>
  </si>
  <si>
    <t>Cloudera Data Platform Generalist</t>
  </si>
  <si>
    <t>CDP-GEN</t>
  </si>
  <si>
    <t>SnowPro Core Certification</t>
  </si>
  <si>
    <t>SNOW-CORE</t>
  </si>
  <si>
    <t>Microsoft Certified: Azure Data Engineer Associate</t>
  </si>
  <si>
    <t>DP-203</t>
  </si>
  <si>
    <t>ISTQB Test Automation Engineer</t>
  </si>
  <si>
    <t>CT-TAE</t>
  </si>
  <si>
    <t>Selenium WebDriver with Java</t>
  </si>
  <si>
    <t>SELENIUM</t>
  </si>
  <si>
    <t>ISTQB Agile Tester</t>
  </si>
  <si>
    <t>CT-AT</t>
  </si>
  <si>
    <t>Cypress End-to-End Testing</t>
  </si>
  <si>
    <t>CYPRESS</t>
  </si>
  <si>
    <t>Apache JMeter Performance Testing</t>
  </si>
  <si>
    <t>JMETER</t>
  </si>
  <si>
    <t>LEAD (8-12 ans d'expérience)</t>
  </si>
  <si>
    <t>SAFe 6 Agilist</t>
  </si>
  <si>
    <t>SA</t>
  </si>
  <si>
    <t>Microsoft Azure Solutions Architect Expert</t>
  </si>
  <si>
    <t>AZ-305</t>
  </si>
  <si>
    <t>Microsoft DevOps Engineer Expert</t>
  </si>
  <si>
    <t>AZ-400</t>
  </si>
  <si>
    <t>Certified Kubernetes Administrator</t>
  </si>
  <si>
    <t>CKA</t>
  </si>
  <si>
    <t>Certified Ethical Hacker</t>
  </si>
  <si>
    <t>CEH</t>
  </si>
  <si>
    <t>AWS Certified Data Analytics Specialty</t>
  </si>
  <si>
    <t>DAS-C01</t>
  </si>
  <si>
    <t>Google Professional Data Engineer</t>
  </si>
  <si>
    <t>GCP-PDE</t>
  </si>
  <si>
    <t>ISTQB Advanced Level Test Manager</t>
  </si>
  <si>
    <t>CTAL-TM</t>
  </si>
  <si>
    <t>EXPERT (12+ ans d'expérience)</t>
  </si>
  <si>
    <t>SAFe Release Train Engineer</t>
  </si>
  <si>
    <t>RTE</t>
  </si>
  <si>
    <t>Certified Kubernetes Security Specialist</t>
  </si>
  <si>
    <t>CKS</t>
  </si>
  <si>
    <t>AWS Solutions Architect Professional</t>
  </si>
  <si>
    <t>SAP-C02</t>
  </si>
  <si>
    <t>TOGAF 10 Enterprise Architecture Foundation</t>
  </si>
  <si>
    <t>TOGAF-10</t>
  </si>
  <si>
    <t>Architecture</t>
  </si>
  <si>
    <t>MANAGER (Responsables d'équipe)</t>
  </si>
  <si>
    <t>Professional Agile Leadership</t>
  </si>
  <si>
    <t>PAL-I</t>
  </si>
  <si>
    <t>Project Management Professional</t>
  </si>
  <si>
    <t>PMP</t>
  </si>
  <si>
    <t>Management</t>
  </si>
  <si>
    <t>Prince2 Practitioner</t>
  </si>
  <si>
    <t>PRINCE2-P</t>
  </si>
  <si>
    <t>Certified ScrumMaster</t>
  </si>
  <si>
    <t>CSM</t>
  </si>
  <si>
    <t>Catalogue Certifications</t>
  </si>
  <si>
    <t>Squads Affectés</t>
  </si>
  <si>
    <t>Version</t>
  </si>
  <si>
    <t>PRIX Exam (USD)</t>
  </si>
  <si>
    <t>PRIX Exam (MAD)</t>
  </si>
  <si>
    <t>Lien Udemy</t>
  </si>
  <si>
    <t>Lien Officiel</t>
  </si>
  <si>
    <t>Validité</t>
  </si>
  <si>
    <t>Catégorie</t>
  </si>
  <si>
    <t>Valeur Business</t>
  </si>
  <si>
    <t>Niveau</t>
  </si>
  <si>
    <t>Tous</t>
  </si>
  <si>
    <t>2024</t>
  </si>
  <si>
    <t>Udemy</t>
  </si>
  <si>
    <t>Officiel</t>
  </si>
  <si>
    <t>2 ans</t>
  </si>
  <si>
    <t>OBLIGATOIRE</t>
  </si>
  <si>
    <t>Junior</t>
  </si>
  <si>
    <t>RECOMMANDE</t>
  </si>
  <si>
    <t>Senior</t>
  </si>
  <si>
    <t>6.0</t>
  </si>
  <si>
    <t>1 an</t>
  </si>
  <si>
    <t>Lead</t>
  </si>
  <si>
    <t>OPTIONNEL</t>
  </si>
  <si>
    <t>Expert</t>
  </si>
  <si>
    <t>Manager</t>
  </si>
  <si>
    <t>Permanente</t>
  </si>
  <si>
    <t>v6.1</t>
  </si>
  <si>
    <t>EX200</t>
  </si>
  <si>
    <t>3 ans</t>
  </si>
  <si>
    <t>EX294</t>
  </si>
  <si>
    <t>200-301</t>
  </si>
  <si>
    <t>1.29</t>
  </si>
  <si>
    <t>003</t>
  </si>
  <si>
    <t>DevOps, Data</t>
  </si>
  <si>
    <t>C03</t>
  </si>
  <si>
    <t>C02</t>
  </si>
  <si>
    <t>DevOps, .NET, Java</t>
  </si>
  <si>
    <t>10</t>
  </si>
  <si>
    <t>5 ans</t>
  </si>
  <si>
    <t>v13</t>
  </si>
  <si>
    <t>7th Ed</t>
  </si>
  <si>
    <t>2023</t>
  </si>
  <si>
    <t>Confluent Certified Developer for Apache Kafka</t>
  </si>
  <si>
    <t>CCDAK</t>
  </si>
  <si>
    <t>Confluent Certified Administrator for Apache Kafka</t>
  </si>
  <si>
    <t>CCAAK</t>
  </si>
  <si>
    <t>CDP-0011</t>
  </si>
  <si>
    <t>Cloudera Administrator on premises</t>
  </si>
  <si>
    <t>CAOP</t>
  </si>
  <si>
    <t>Cloudera Data Engineer</t>
  </si>
  <si>
    <t>CDE</t>
  </si>
  <si>
    <t>AWS Certified Data Engineer – Associate</t>
  </si>
  <si>
    <t>C01</t>
  </si>
  <si>
    <t>Data, .NET</t>
  </si>
  <si>
    <t>Azure Data Engineer Associate</t>
  </si>
  <si>
    <t>v4.0</t>
  </si>
  <si>
    <t>v1.0</t>
  </si>
  <si>
    <t>4.x</t>
  </si>
  <si>
    <t>v2014</t>
  </si>
  <si>
    <t>5.x</t>
  </si>
  <si>
    <t>v2012</t>
  </si>
  <si>
    <t>INSTRUCTIONS: Pour affecter une certification a un/plusieurs squad(s), modifier la colonne 'Squads Affectes' (B) avec: 'Tous' | '.NET' | 'Java' | 'DevOps' | 'Data' | 'QA-Testing' ou plusieurs squads separes par virgules (ex: 'Data, .NET'). Puis utiliser la macro VBA RefreshAllSquads().</t>
  </si>
  <si>
    <t>LEGENDE</t>
  </si>
  <si>
    <t>SQUAD .NET</t>
  </si>
  <si>
    <t>PRIX Exam</t>
  </si>
  <si>
    <t>SQUAD JAVA</t>
  </si>
  <si>
    <t>SQUAD DEVOPS</t>
  </si>
  <si>
    <t>SQUAD DATA</t>
  </si>
  <si>
    <t>SQUAD QA-TESTING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</si>
</sst>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rgb="FF0000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rgb="FFFFFFFF"/>
      <name val="Calibri"/>
    </font>
    <font>
      <b/>
      <sz val="11"/>
      <color rgb="FFFFFFFF"/>
      <name val="Calibri"/>
    </font>
    <font>
      <i/>
      <sz val="9"/>
      <name val="Calibri"/>
    </font>
    <font>
      <b/>
      <sz val="12"/>
      <color rgb="FFFFFFFF"/>
      <name val="Calibri"/>
    </font>
    <font>
      <b/>
      <sz val="11"/>
      <name val="Calibri"/>
    </font>
    <font>
      <u/>
      <sz val="11"/>
      <color rgb="FF0000FF"/>
      <name val="Calibri"/>
    </font>
    <font>
      <b/>
      <sz val="14"/>
      <color rgb="FFFFFFFF"/>
      <name val="Calibri"/>
    </font>
    <font>
      <sz val="10"/>
      <name val="Calibri"/>
    </font>
    <font>
      <b/>
      <sz val="11"/>
      <color rgb="FF0066CC"/>
      <name val="Calibri"/>
    </font>
  </fonts>
  <fills count="22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44336"/>
        <bgColor indexed="64"/>
      </patternFill>
    </fill>
    <fill>
      <patternFill patternType="solid">
        <fgColor rgb="FFE8F5E9"/>
        <bgColor indexed="64"/>
      </patternFill>
    </fill>
    <fill>
      <patternFill patternType="solid">
        <fgColor rgb="FFFF9800"/>
        <bgColor indexed="64"/>
      </patternFill>
    </fill>
    <fill>
      <patternFill patternType="solid">
        <fgColor rgb="FFBBDEFB"/>
        <bgColor indexed="64"/>
      </patternFill>
    </fill>
    <fill>
      <patternFill patternType="solid">
        <fgColor rgb="FFFFE082"/>
        <bgColor indexed="64"/>
      </patternFill>
    </fill>
    <fill>
      <patternFill patternType="solid">
        <fgColor rgb="FF6BCB77"/>
        <bgColor indexed="64"/>
      </patternFill>
    </fill>
    <fill>
      <patternFill patternType="solid">
        <fgColor rgb="FFFF8A65"/>
        <bgColor indexed="64"/>
      </patternFill>
    </fill>
    <fill>
      <patternFill patternType="solid">
        <fgColor rgb="FFBA68C8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2E75B6"/>
        <bgColor rgb="FF2E75B6"/>
      </patternFill>
    </fill>
    <fill>
      <patternFill patternType="solid">
        <fgColor rgb="FFFFF3CD"/>
        <bgColor rgb="FFFFF3CD"/>
      </patternFill>
    </fill>
    <fill>
      <patternFill patternType="solid">
        <fgColor rgb="FF4472C4"/>
        <bgColor rgb="FF4472C4"/>
      </patternFill>
    </fill>
    <fill>
      <patternFill patternType="solid">
        <fgColor rgb="FFFFD700"/>
        <bgColor rgb="FFFFD700"/>
      </patternFill>
    </fill>
    <fill>
      <patternFill patternType="solid">
        <fgColor rgb="FFFFA500"/>
        <bgColor rgb="FFFFA500"/>
      </patternFill>
    </fill>
    <fill>
      <patternFill patternType="solid">
        <fgColor rgb="FF0066CC"/>
        <bgColor rgb="FF0066CC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8" fillId="0" borderId="0"/>
  </cellStyleXfs>
  <cellXfs count="43">
    <xf numFmtId="0" fontId="0" fillId="0" borderId="0" xfId="0"/>
    <xf numFmtId="0" fontId="2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6" fillId="7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6" fillId="9" borderId="1" xfId="0" applyFont="1" applyFill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0" fontId="4" fillId="11" borderId="1" xfId="0" applyFont="1" applyFill="1" applyBorder="1" applyAlignment="1">
      <alignment horizontal="center"/>
    </xf>
    <xf numFmtId="0" fontId="7" fillId="12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center"/>
    </xf>
    <xf numFmtId="0" fontId="6" fillId="14" borderId="1" xfId="0" applyFont="1" applyFill="1" applyBorder="1" applyAlignment="1">
      <alignment horizontal="center"/>
    </xf>
    <xf numFmtId="0" fontId="3" fillId="4" borderId="0" xfId="0" applyFont="1" applyFill="1" applyAlignment="1">
      <alignment horizontal="left" vertical="center"/>
    </xf>
    <xf numFmtId="0" fontId="10" fillId="16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 wrapText="1"/>
    </xf>
    <xf numFmtId="0" fontId="0" fillId="17" borderId="0" xfId="0" applyFill="1"/>
    <xf numFmtId="0" fontId="0" fillId="0" borderId="3" xfId="0" applyBorder="1" applyAlignment="1">
      <alignment horizontal="left" vertical="center"/>
    </xf>
    <xf numFmtId="0" fontId="0" fillId="0" borderId="3" xfId="0" applyBorder="1" applyAlignment="1">
      <alignment horizontal="center" vertical="center"/>
    </xf>
    <xf numFmtId="0" fontId="13" fillId="19" borderId="3" xfId="0" applyFont="1" applyFill="1" applyBorder="1" applyAlignment="1">
      <alignment horizontal="center" vertical="center"/>
    </xf>
    <xf numFmtId="0" fontId="0" fillId="20" borderId="3" xfId="0" applyFill="1" applyBorder="1" applyAlignment="1">
      <alignment horizontal="center" vertical="center"/>
    </xf>
    <xf numFmtId="0" fontId="14" fillId="0" borderId="1" xfId="0" applyFont="1" applyBorder="1" applyAlignment="1">
      <alignment vertical="center"/>
    </xf>
    <xf numFmtId="0" fontId="15" fillId="21" borderId="0" xfId="0" applyFont="1" applyFill="1" applyAlignment="1">
      <alignment horizontal="left" vertical="center"/>
    </xf>
    <xf numFmtId="0" fontId="16" fillId="0" borderId="0" xfId="0" applyFont="1" applyAlignment="1">
      <alignment horizontal="left" vertical="center" wrapText="1"/>
    </xf>
    <xf numFmtId="0" fontId="17" fillId="0" borderId="0" xfId="0" applyFont="1" applyAlignment="1">
      <alignment horizontal="left" vertical="center"/>
    </xf>
    <xf numFmtId="0" fontId="0" fillId="0" borderId="3" xfId="0" applyBorder="1"/>
    <xf numFmtId="0" fontId="0" fillId="0" borderId="3" xfId="0" applyBorder="1" applyAlignment="1">
      <alignment horizontal="center"/>
    </xf>
    <xf numFmtId="0" fontId="5" fillId="0" borderId="3" xfId="1" applyFont="1" applyBorder="1" applyAlignment="1">
      <alignment horizontal="center"/>
    </xf>
    <xf numFmtId="0" fontId="6" fillId="7" borderId="3" xfId="0" applyFont="1" applyFill="1" applyBorder="1" applyAlignment="1">
      <alignment horizontal="center"/>
    </xf>
    <xf numFmtId="0" fontId="4" fillId="8" borderId="3" xfId="0" applyFont="1" applyFill="1" applyBorder="1" applyAlignment="1">
      <alignment horizontal="center"/>
    </xf>
    <xf numFmtId="0" fontId="6" fillId="9" borderId="3" xfId="0" applyFont="1" applyFill="1" applyBorder="1" applyAlignment="1">
      <alignment horizontal="center"/>
    </xf>
    <xf numFmtId="0" fontId="4" fillId="10" borderId="3" xfId="0" applyFont="1" applyFill="1" applyBorder="1" applyAlignment="1">
      <alignment horizontal="center"/>
    </xf>
    <xf numFmtId="0" fontId="4" fillId="11" borderId="3" xfId="0" applyFont="1" applyFill="1" applyBorder="1" applyAlignment="1">
      <alignment horizontal="center"/>
    </xf>
    <xf numFmtId="0" fontId="7" fillId="12" borderId="3" xfId="0" applyFont="1" applyFill="1" applyBorder="1" applyAlignment="1">
      <alignment horizontal="center"/>
    </xf>
    <xf numFmtId="0" fontId="6" fillId="13" borderId="3" xfId="0" applyFont="1" applyFill="1" applyBorder="1" applyAlignment="1">
      <alignment horizontal="center"/>
    </xf>
    <xf numFmtId="0" fontId="6" fillId="14" borderId="3" xfId="0" applyFont="1" applyFill="1" applyBorder="1" applyAlignment="1">
      <alignment horizontal="center"/>
    </xf>
    <xf numFmtId="0" fontId="12" fillId="18" borderId="0" xfId="0" applyFont="1" applyFill="1" applyAlignment="1">
      <alignment horizontal="left" vertical="center"/>
    </xf>
    <xf numFmtId="0" fontId="0" fillId="0" borderId="0" xfId="0"/>
    <xf numFmtId="0" fontId="3" fillId="4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1" fillId="17" borderId="0" xfId="0" applyFont="1" applyFill="1" applyAlignment="1">
      <alignment horizontal="left" vertical="center" wrapText="1"/>
    </xf>
    <xf numFmtId="0" fontId="9" fillId="15" borderId="0" xfId="0" applyFont="1" applyFill="1" applyAlignment="1">
      <alignment horizontal="center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confluent.io/certification/" TargetMode="External"/><Relationship Id="rId21" Type="http://schemas.openxmlformats.org/officeDocument/2006/relationships/hyperlink" Target="https://education.oracle.com/oracle-certified-professional-java-se-17-developer/trackp_OCPJSE17" TargetMode="External"/><Relationship Id="rId42" Type="http://schemas.openxmlformats.org/officeDocument/2006/relationships/hyperlink" Target="https://www.vmware.com/learning/certification/vcp-dcv.html" TargetMode="External"/><Relationship Id="rId63" Type="http://schemas.openxmlformats.org/officeDocument/2006/relationships/hyperlink" Target="https://www.cisco.com/c/en/us/training-events/training-certifications/certifications/associate/ccna.html" TargetMode="External"/><Relationship Id="rId84" Type="http://schemas.openxmlformats.org/officeDocument/2006/relationships/hyperlink" Target="https://aws.amazon.com/certification/certified-developer-associate/" TargetMode="External"/><Relationship Id="rId138" Type="http://schemas.openxmlformats.org/officeDocument/2006/relationships/hyperlink" Target="https://www.istqb.org/certifications/certified-tester-foundation-level" TargetMode="External"/><Relationship Id="rId159" Type="http://schemas.openxmlformats.org/officeDocument/2006/relationships/hyperlink" Target="https://www.istqb.org/certifications/test-manager" TargetMode="External"/><Relationship Id="rId107" Type="http://schemas.openxmlformats.org/officeDocument/2006/relationships/hyperlink" Target="https://devoteamlearning.udemy.com/course/intro-project-management/" TargetMode="External"/><Relationship Id="rId11" Type="http://schemas.openxmlformats.org/officeDocument/2006/relationships/hyperlink" Target="https://devoteamlearning.udemy.com/course/master-safe-60-release-train-engineer-safe-rte-essentials/" TargetMode="External"/><Relationship Id="rId32" Type="http://schemas.openxmlformats.org/officeDocument/2006/relationships/hyperlink" Target="https://devoteamlearning.udemy.com/course/70533-azure/" TargetMode="External"/><Relationship Id="rId53" Type="http://schemas.openxmlformats.org/officeDocument/2006/relationships/hyperlink" Target="https://devoteamlearning.udemy.com/course/gitlab-ci-pipelines-ci-cd-and-devops-for-beginners/" TargetMode="External"/><Relationship Id="rId74" Type="http://schemas.openxmlformats.org/officeDocument/2006/relationships/hyperlink" Target="https://devoteamlearning.udemy.com/course/terraform-beginner-to-advanced/" TargetMode="External"/><Relationship Id="rId128" Type="http://schemas.openxmlformats.org/officeDocument/2006/relationships/hyperlink" Target="https://devoteamlearning.udemy.com/course/cloudera-hadoop-training/" TargetMode="External"/><Relationship Id="rId149" Type="http://schemas.openxmlformats.org/officeDocument/2006/relationships/hyperlink" Target="https://devoteamlearning.udemy.com/course/cypress-io-master-class/" TargetMode="External"/><Relationship Id="rId5" Type="http://schemas.openxmlformats.org/officeDocument/2006/relationships/hyperlink" Target="https://devoteamlearning.udemy.com/course/product-owner-course/" TargetMode="External"/><Relationship Id="rId95" Type="http://schemas.openxmlformats.org/officeDocument/2006/relationships/hyperlink" Target="https://devoteamlearning.udemy.com/course/ai102-azure/" TargetMode="External"/><Relationship Id="rId22" Type="http://schemas.openxmlformats.org/officeDocument/2006/relationships/hyperlink" Target="https://devoteamlearning.udemy.com/open-badges/1435269161" TargetMode="External"/><Relationship Id="rId43" Type="http://schemas.openxmlformats.org/officeDocument/2006/relationships/hyperlink" Target="https://devoteamlearning.udemy.com/course/unofficial-linux-redhat-certified-system-administrator-rhcsa/" TargetMode="External"/><Relationship Id="rId64" Type="http://schemas.openxmlformats.org/officeDocument/2006/relationships/hyperlink" Target="https://devoteamlearning.udemy.com/course/certified-kubernetes-application-developer/" TargetMode="External"/><Relationship Id="rId118" Type="http://schemas.openxmlformats.org/officeDocument/2006/relationships/hyperlink" Target="https://devoteamlearning.udemy.com/course/apache-kafka/" TargetMode="External"/><Relationship Id="rId139" Type="http://schemas.openxmlformats.org/officeDocument/2006/relationships/hyperlink" Target="https://devoteamlearning.udemy.com/course/istqb-test-automation-engineer/" TargetMode="External"/><Relationship Id="rId80" Type="http://schemas.openxmlformats.org/officeDocument/2006/relationships/hyperlink" Target="https://devoteamlearning.udemy.com/course/aws-solutions-architect-professional/" TargetMode="External"/><Relationship Id="rId85" Type="http://schemas.openxmlformats.org/officeDocument/2006/relationships/hyperlink" Target="https://devoteamlearning.udemy.com/course/google-cloud-associate-engineer/" TargetMode="External"/><Relationship Id="rId150" Type="http://schemas.openxmlformats.org/officeDocument/2006/relationships/hyperlink" Target="https://www.cypress.io/" TargetMode="External"/><Relationship Id="rId155" Type="http://schemas.openxmlformats.org/officeDocument/2006/relationships/hyperlink" Target="https://devoteamlearning.udemy.com/course/learn-jmeter-from-scratch-performance-load-testing-tool/" TargetMode="External"/><Relationship Id="rId12" Type="http://schemas.openxmlformats.org/officeDocument/2006/relationships/hyperlink" Target="https://scaledagile.com/training/safe-release-train-engineer/" TargetMode="External"/><Relationship Id="rId17" Type="http://schemas.openxmlformats.org/officeDocument/2006/relationships/hyperlink" Target="https://devoteamlearning.udemy.com/course/service-management-itil-4/" TargetMode="External"/><Relationship Id="rId33" Type="http://schemas.openxmlformats.org/officeDocument/2006/relationships/hyperlink" Target="https://learn.microsoft.com/certifications/azure-administrator/" TargetMode="External"/><Relationship Id="rId38" Type="http://schemas.openxmlformats.org/officeDocument/2006/relationships/hyperlink" Target="https://devoteamlearning.udemy.com/course/azure100/" TargetMode="External"/><Relationship Id="rId59" Type="http://schemas.openxmlformats.org/officeDocument/2006/relationships/hyperlink" Target="https://devoteamlearning.udemy.com/course/prometheus-course/" TargetMode="External"/><Relationship Id="rId103" Type="http://schemas.openxmlformats.org/officeDocument/2006/relationships/hyperlink" Target="https://devoteamlearning.udemy.com/course/pmp-certification-exam-prep-course-pmbok-6th-edition/" TargetMode="External"/><Relationship Id="rId108" Type="http://schemas.openxmlformats.org/officeDocument/2006/relationships/hyperlink" Target="https://www.axelos.com/certifications/propath/prince2-project-management/prince2-practitioner" TargetMode="External"/><Relationship Id="rId124" Type="http://schemas.openxmlformats.org/officeDocument/2006/relationships/hyperlink" Target="https://devoteamlearning.udemy.com/course/cloudera-hadoop-training/" TargetMode="External"/><Relationship Id="rId129" Type="http://schemas.openxmlformats.org/officeDocument/2006/relationships/hyperlink" Target="https://www.cloudera.com/about/training/certification.html" TargetMode="External"/><Relationship Id="rId54" Type="http://schemas.openxmlformats.org/officeDocument/2006/relationships/hyperlink" Target="https://about.gitlab.com/services/education/gitlab-cicd-associate/" TargetMode="External"/><Relationship Id="rId70" Type="http://schemas.openxmlformats.org/officeDocument/2006/relationships/hyperlink" Target="https://devoteamlearning.udemy.com/course/certified-kubernetes-security-specialist-certification/" TargetMode="External"/><Relationship Id="rId75" Type="http://schemas.openxmlformats.org/officeDocument/2006/relationships/hyperlink" Target="https://www.hashicorp.com/certification/terraform-associate" TargetMode="External"/><Relationship Id="rId91" Type="http://schemas.openxmlformats.org/officeDocument/2006/relationships/hyperlink" Target="https://devoteamlearning.udemy.com/course/ai900-azure/" TargetMode="External"/><Relationship Id="rId96" Type="http://schemas.openxmlformats.org/officeDocument/2006/relationships/hyperlink" Target="https://learn.microsoft.com/certifications/azure-ai-engineer/" TargetMode="External"/><Relationship Id="rId140" Type="http://schemas.openxmlformats.org/officeDocument/2006/relationships/hyperlink" Target="https://devoteamlearning.udemy.com/course/istqb-test-automation-engineer/" TargetMode="External"/><Relationship Id="rId145" Type="http://schemas.openxmlformats.org/officeDocument/2006/relationships/hyperlink" Target="https://devoteamlearning.udemy.com/course/istqb-agile-tester-certification/" TargetMode="External"/><Relationship Id="rId1" Type="http://schemas.openxmlformats.org/officeDocument/2006/relationships/hyperlink" Target="https://devoteamlearning.udemy.com/course/complete-agile-scrum-master-training-exam-simulator/" TargetMode="External"/><Relationship Id="rId6" Type="http://schemas.openxmlformats.org/officeDocument/2006/relationships/hyperlink" Target="https://www.scrum.org/assessments/professional-scrum-product-owner-i-certification" TargetMode="External"/><Relationship Id="rId23" Type="http://schemas.openxmlformats.org/officeDocument/2006/relationships/hyperlink" Target="https://devoteamlearning.udemy.com/open-badges/1435269161" TargetMode="External"/><Relationship Id="rId28" Type="http://schemas.openxmlformats.org/officeDocument/2006/relationships/hyperlink" Target="https://devoteamlearning.udemy.com/course/70532-azure/" TargetMode="External"/><Relationship Id="rId49" Type="http://schemas.openxmlformats.org/officeDocument/2006/relationships/hyperlink" Target="https://devoteamlearning.udemy.com/course/linux-foundation-certified-systems-administrator-lfcs/" TargetMode="External"/><Relationship Id="rId114" Type="http://schemas.openxmlformats.org/officeDocument/2006/relationships/hyperlink" Target="https://www.databricks.com/learn/certification/data-engineer-associate" TargetMode="External"/><Relationship Id="rId119" Type="http://schemas.openxmlformats.org/officeDocument/2006/relationships/hyperlink" Target="https://devoteamlearning.udemy.com/course/apache-kafka/" TargetMode="External"/><Relationship Id="rId44" Type="http://schemas.openxmlformats.org/officeDocument/2006/relationships/hyperlink" Target="https://devoteamlearning.udemy.com/course/unofficial-linux-redhat-certified-system-administrator-rhcsa/" TargetMode="External"/><Relationship Id="rId60" Type="http://schemas.openxmlformats.org/officeDocument/2006/relationships/hyperlink" Target="https://training.linuxfoundation.org/certification/prometheus-certified-associate/" TargetMode="External"/><Relationship Id="rId65" Type="http://schemas.openxmlformats.org/officeDocument/2006/relationships/hyperlink" Target="https://devoteamlearning.udemy.com/course/certified-kubernetes-application-developer/" TargetMode="External"/><Relationship Id="rId81" Type="http://schemas.openxmlformats.org/officeDocument/2006/relationships/hyperlink" Target="https://aws.amazon.com/certification/certified-solutions-architect-professional/" TargetMode="External"/><Relationship Id="rId86" Type="http://schemas.openxmlformats.org/officeDocument/2006/relationships/hyperlink" Target="https://devoteamlearning.udemy.com/course/google-cloud-associate-engineer/" TargetMode="External"/><Relationship Id="rId130" Type="http://schemas.openxmlformats.org/officeDocument/2006/relationships/hyperlink" Target="https://devoteamlearning.udemy.com/course/aws-data-analytics/" TargetMode="External"/><Relationship Id="rId135" Type="http://schemas.openxmlformats.org/officeDocument/2006/relationships/hyperlink" Target="https://learn.microsoft.com/certifications/azure-data-engineer/" TargetMode="External"/><Relationship Id="rId151" Type="http://schemas.openxmlformats.org/officeDocument/2006/relationships/hyperlink" Target="https://devoteamlearning.udemy.com/course/postman-the-complete-guide/" TargetMode="External"/><Relationship Id="rId156" Type="http://schemas.openxmlformats.org/officeDocument/2006/relationships/hyperlink" Target="https://jmeter.apache.org/" TargetMode="External"/><Relationship Id="rId13" Type="http://schemas.openxmlformats.org/officeDocument/2006/relationships/hyperlink" Target="https://devoteamlearning.udemy.com/course/the-ultimate-agile-leader-certification-training/" TargetMode="External"/><Relationship Id="rId18" Type="http://schemas.openxmlformats.org/officeDocument/2006/relationships/hyperlink" Target="https://www.axelos.com/certifications/itil-service-management/itil-4-foundation" TargetMode="External"/><Relationship Id="rId39" Type="http://schemas.openxmlformats.org/officeDocument/2006/relationships/hyperlink" Target="https://learn.microsoft.com/certifications/devops-engineer/" TargetMode="External"/><Relationship Id="rId109" Type="http://schemas.openxmlformats.org/officeDocument/2006/relationships/hyperlink" Target="https://devoteamlearning.udemy.com/course/scrumrealworld/" TargetMode="External"/><Relationship Id="rId34" Type="http://schemas.openxmlformats.org/officeDocument/2006/relationships/hyperlink" Target="https://devoteamlearning.udemy.com/course/az301-azure/" TargetMode="External"/><Relationship Id="rId50" Type="http://schemas.openxmlformats.org/officeDocument/2006/relationships/hyperlink" Target="https://devoteamlearning.udemy.com/course/linux-foundation-certified-systems-administrator-lfcs/" TargetMode="External"/><Relationship Id="rId55" Type="http://schemas.openxmlformats.org/officeDocument/2006/relationships/hyperlink" Target="https://devoteamlearning.udemy.com/course/jenkins-from-zero-to-hero/" TargetMode="External"/><Relationship Id="rId76" Type="http://schemas.openxmlformats.org/officeDocument/2006/relationships/hyperlink" Target="https://devoteamlearning.udemy.com/course/aws-certified-solutions-architect-associate-saa-c03/" TargetMode="External"/><Relationship Id="rId97" Type="http://schemas.openxmlformats.org/officeDocument/2006/relationships/hyperlink" Target="https://devoteamlearning.udemy.com/course/securityplus/" TargetMode="External"/><Relationship Id="rId104" Type="http://schemas.openxmlformats.org/officeDocument/2006/relationships/hyperlink" Target="https://devoteamlearning.udemy.com/course/pmp-certification-exam-prep-course-pmbok-6th-edition/" TargetMode="External"/><Relationship Id="rId120" Type="http://schemas.openxmlformats.org/officeDocument/2006/relationships/hyperlink" Target="https://www.confluent.io/certification/" TargetMode="External"/><Relationship Id="rId125" Type="http://schemas.openxmlformats.org/officeDocument/2006/relationships/hyperlink" Target="https://devoteamlearning.udemy.com/course/cloudera-hadoop-training/" TargetMode="External"/><Relationship Id="rId141" Type="http://schemas.openxmlformats.org/officeDocument/2006/relationships/hyperlink" Target="https://www.istqb.org/certifications/test-automation-engineer" TargetMode="External"/><Relationship Id="rId146" Type="http://schemas.openxmlformats.org/officeDocument/2006/relationships/hyperlink" Target="https://devoteamlearning.udemy.com/course/istqb-agile-tester-certification/" TargetMode="External"/><Relationship Id="rId7" Type="http://schemas.openxmlformats.org/officeDocument/2006/relationships/hyperlink" Target="https://devoteamlearning.udemy.com/course/safe-agilist-6-leading-safe/" TargetMode="External"/><Relationship Id="rId71" Type="http://schemas.openxmlformats.org/officeDocument/2006/relationships/hyperlink" Target="https://devoteamlearning.udemy.com/course/certified-kubernetes-security-specialist-certification/" TargetMode="External"/><Relationship Id="rId92" Type="http://schemas.openxmlformats.org/officeDocument/2006/relationships/hyperlink" Target="https://devoteamlearning.udemy.com/course/ai900-azure/" TargetMode="External"/><Relationship Id="rId2" Type="http://schemas.openxmlformats.org/officeDocument/2006/relationships/hyperlink" Target="https://devoteamlearning.udemy.com/course/complete-agile-scrum-master-training-exam-simulator/" TargetMode="External"/><Relationship Id="rId29" Type="http://schemas.openxmlformats.org/officeDocument/2006/relationships/hyperlink" Target="https://devoteamlearning.udemy.com/course/70532-azure/" TargetMode="External"/><Relationship Id="rId24" Type="http://schemas.openxmlformats.org/officeDocument/2006/relationships/hyperlink" Target="https://spring.io/certifications" TargetMode="External"/><Relationship Id="rId40" Type="http://schemas.openxmlformats.org/officeDocument/2006/relationships/hyperlink" Target="https://devoteamlearning.udemy.com/course/vsphere8vcp/" TargetMode="External"/><Relationship Id="rId45" Type="http://schemas.openxmlformats.org/officeDocument/2006/relationships/hyperlink" Target="https://www.redhat.com/en/services/certification/rhcsa" TargetMode="External"/><Relationship Id="rId66" Type="http://schemas.openxmlformats.org/officeDocument/2006/relationships/hyperlink" Target="https://www.cncf.io/certification/ckad/" TargetMode="External"/><Relationship Id="rId87" Type="http://schemas.openxmlformats.org/officeDocument/2006/relationships/hyperlink" Target="https://cloud.google.com/certification/cloud-engineer" TargetMode="External"/><Relationship Id="rId110" Type="http://schemas.openxmlformats.org/officeDocument/2006/relationships/hyperlink" Target="https://devoteamlearning.udemy.com/course/scrumrealworld/" TargetMode="External"/><Relationship Id="rId115" Type="http://schemas.openxmlformats.org/officeDocument/2006/relationships/hyperlink" Target="https://devoteamlearning.udemy.com/course/apache-kafka/" TargetMode="External"/><Relationship Id="rId131" Type="http://schemas.openxmlformats.org/officeDocument/2006/relationships/hyperlink" Target="https://devoteamlearning.udemy.com/course/aws-data-analytics/" TargetMode="External"/><Relationship Id="rId136" Type="http://schemas.openxmlformats.org/officeDocument/2006/relationships/hyperlink" Target="https://devoteamlearning.udemy.com/course/istqb-foundation-training/" TargetMode="External"/><Relationship Id="rId157" Type="http://schemas.openxmlformats.org/officeDocument/2006/relationships/hyperlink" Target="https://devoteamlearning.udemy.com/course/istqb-advanced-test-manager/" TargetMode="External"/><Relationship Id="rId61" Type="http://schemas.openxmlformats.org/officeDocument/2006/relationships/hyperlink" Target="https://devoteamlearning.udemy.com/course/ccna-complete/" TargetMode="External"/><Relationship Id="rId82" Type="http://schemas.openxmlformats.org/officeDocument/2006/relationships/hyperlink" Target="https://devoteamlearning.udemy.com/course/aws-certified-developer-associate-dva-c01/" TargetMode="External"/><Relationship Id="rId152" Type="http://schemas.openxmlformats.org/officeDocument/2006/relationships/hyperlink" Target="https://devoteamlearning.udemy.com/course/postman-the-complete-guide/" TargetMode="External"/><Relationship Id="rId19" Type="http://schemas.openxmlformats.org/officeDocument/2006/relationships/hyperlink" Target="https://devoteamlearning.udemy.com/course/ocp11_from_oca8/" TargetMode="External"/><Relationship Id="rId14" Type="http://schemas.openxmlformats.org/officeDocument/2006/relationships/hyperlink" Target="https://devoteamlearning.udemy.com/course/the-ultimate-agile-leader-certification-training/" TargetMode="External"/><Relationship Id="rId30" Type="http://schemas.openxmlformats.org/officeDocument/2006/relationships/hyperlink" Target="https://learn.microsoft.com/certifications/azure-developer/" TargetMode="External"/><Relationship Id="rId35" Type="http://schemas.openxmlformats.org/officeDocument/2006/relationships/hyperlink" Target="https://devoteamlearning.udemy.com/course/az301-azure/" TargetMode="External"/><Relationship Id="rId56" Type="http://schemas.openxmlformats.org/officeDocument/2006/relationships/hyperlink" Target="https://devoteamlearning.udemy.com/course/jenkins-from-zero-to-hero/" TargetMode="External"/><Relationship Id="rId77" Type="http://schemas.openxmlformats.org/officeDocument/2006/relationships/hyperlink" Target="https://devoteamlearning.udemy.com/course/aws-certified-solutions-architect-associate-saa-c03/" TargetMode="External"/><Relationship Id="rId100" Type="http://schemas.openxmlformats.org/officeDocument/2006/relationships/hyperlink" Target="https://devoteamlearning.udemy.com/course/ceh-practical-complete-course-exam/" TargetMode="External"/><Relationship Id="rId105" Type="http://schemas.openxmlformats.org/officeDocument/2006/relationships/hyperlink" Target="https://www.pmi.org/certifications/project-management-pmp" TargetMode="External"/><Relationship Id="rId126" Type="http://schemas.openxmlformats.org/officeDocument/2006/relationships/hyperlink" Target="https://www.cloudera.com/about/training/certification.html" TargetMode="External"/><Relationship Id="rId147" Type="http://schemas.openxmlformats.org/officeDocument/2006/relationships/hyperlink" Target="https://www.istqb.org/certifications/agile-tester" TargetMode="External"/><Relationship Id="rId8" Type="http://schemas.openxmlformats.org/officeDocument/2006/relationships/hyperlink" Target="https://devoteamlearning.udemy.com/course/safe-agilist-6-leading-safe/" TargetMode="External"/><Relationship Id="rId51" Type="http://schemas.openxmlformats.org/officeDocument/2006/relationships/hyperlink" Target="https://training.linuxfoundation.org/certification/linux-foundation-certified-sysadmin-lfcs/" TargetMode="External"/><Relationship Id="rId72" Type="http://schemas.openxmlformats.org/officeDocument/2006/relationships/hyperlink" Target="https://www.cncf.io/certification/cks/" TargetMode="External"/><Relationship Id="rId93" Type="http://schemas.openxmlformats.org/officeDocument/2006/relationships/hyperlink" Target="https://learn.microsoft.com/certifications/azure-ai-fundamentals/" TargetMode="External"/><Relationship Id="rId98" Type="http://schemas.openxmlformats.org/officeDocument/2006/relationships/hyperlink" Target="https://devoteamlearning.udemy.com/course/securityplus/" TargetMode="External"/><Relationship Id="rId121" Type="http://schemas.openxmlformats.org/officeDocument/2006/relationships/hyperlink" Target="https://devoteamlearning.udemy.com/course/cloudera-hadoop-training/" TargetMode="External"/><Relationship Id="rId142" Type="http://schemas.openxmlformats.org/officeDocument/2006/relationships/hyperlink" Target="https://devoteamlearning.udemy.com/course/selenium-real-time-examplesinterview-questions/" TargetMode="External"/><Relationship Id="rId3" Type="http://schemas.openxmlformats.org/officeDocument/2006/relationships/hyperlink" Target="https://www.scrum.org/assessments/professional-scrum-master-i-certification" TargetMode="External"/><Relationship Id="rId25" Type="http://schemas.openxmlformats.org/officeDocument/2006/relationships/hyperlink" Target="https://devoteamlearning.udemy.com/course/az900-azure/" TargetMode="External"/><Relationship Id="rId46" Type="http://schemas.openxmlformats.org/officeDocument/2006/relationships/hyperlink" Target="https://devoteamlearning.udemy.com/course/linux-red-hat-certified-engineer-rhce-ex294/" TargetMode="External"/><Relationship Id="rId67" Type="http://schemas.openxmlformats.org/officeDocument/2006/relationships/hyperlink" Target="https://devoteamlearning.udemy.com/course/certified-kubernetes-administrator-with-practice-tests/" TargetMode="External"/><Relationship Id="rId116" Type="http://schemas.openxmlformats.org/officeDocument/2006/relationships/hyperlink" Target="https://devoteamlearning.udemy.com/course/apache-kafka/" TargetMode="External"/><Relationship Id="rId137" Type="http://schemas.openxmlformats.org/officeDocument/2006/relationships/hyperlink" Target="https://devoteamlearning.udemy.com/course/istqb-foundation-training/" TargetMode="External"/><Relationship Id="rId158" Type="http://schemas.openxmlformats.org/officeDocument/2006/relationships/hyperlink" Target="https://devoteamlearning.udemy.com/course/istqb-advanced-test-manager/" TargetMode="External"/><Relationship Id="rId20" Type="http://schemas.openxmlformats.org/officeDocument/2006/relationships/hyperlink" Target="https://devoteamlearning.udemy.com/course/ocp11_from_oca8/" TargetMode="External"/><Relationship Id="rId41" Type="http://schemas.openxmlformats.org/officeDocument/2006/relationships/hyperlink" Target="https://devoteamlearning.udemy.com/course/vsphere8vcp/" TargetMode="External"/><Relationship Id="rId62" Type="http://schemas.openxmlformats.org/officeDocument/2006/relationships/hyperlink" Target="https://devoteamlearning.udemy.com/course/ccna-complete/" TargetMode="External"/><Relationship Id="rId83" Type="http://schemas.openxmlformats.org/officeDocument/2006/relationships/hyperlink" Target="https://devoteamlearning.udemy.com/course/aws-certified-developer-associate-dva-c01/" TargetMode="External"/><Relationship Id="rId88" Type="http://schemas.openxmlformats.org/officeDocument/2006/relationships/hyperlink" Target="http://devoteamlearning.udemy.com/course/togaf-10-ea-foundation/" TargetMode="External"/><Relationship Id="rId111" Type="http://schemas.openxmlformats.org/officeDocument/2006/relationships/hyperlink" Target="https://www.scrumalliance.org/get-certified/scrum-master-track/certified-scrummaster" TargetMode="External"/><Relationship Id="rId132" Type="http://schemas.openxmlformats.org/officeDocument/2006/relationships/hyperlink" Target="https://aws.amazon.com/certification/certified-data-engineer-associate/" TargetMode="External"/><Relationship Id="rId153" Type="http://schemas.openxmlformats.org/officeDocument/2006/relationships/hyperlink" Target="https://www.postman.com/" TargetMode="External"/><Relationship Id="rId15" Type="http://schemas.openxmlformats.org/officeDocument/2006/relationships/hyperlink" Target="https://www.scrum.org/assessments/professional-agile-leadership-certification" TargetMode="External"/><Relationship Id="rId36" Type="http://schemas.openxmlformats.org/officeDocument/2006/relationships/hyperlink" Target="https://learn.microsoft.com/certifications/azure-solutions-architect/" TargetMode="External"/><Relationship Id="rId57" Type="http://schemas.openxmlformats.org/officeDocument/2006/relationships/hyperlink" Target="https://www.cloudbees.com/jenkins/certification" TargetMode="External"/><Relationship Id="rId106" Type="http://schemas.openxmlformats.org/officeDocument/2006/relationships/hyperlink" Target="https://devoteamlearning.udemy.com/course/intro-project-management/" TargetMode="External"/><Relationship Id="rId127" Type="http://schemas.openxmlformats.org/officeDocument/2006/relationships/hyperlink" Target="https://devoteamlearning.udemy.com/course/cloudera-hadoop-training/" TargetMode="External"/><Relationship Id="rId10" Type="http://schemas.openxmlformats.org/officeDocument/2006/relationships/hyperlink" Target="https://devoteamlearning.udemy.com/course/master-safe-60-release-train-engineer-safe-rte-essentials/" TargetMode="External"/><Relationship Id="rId31" Type="http://schemas.openxmlformats.org/officeDocument/2006/relationships/hyperlink" Target="https://devoteamlearning.udemy.com/course/70533-azure/" TargetMode="External"/><Relationship Id="rId52" Type="http://schemas.openxmlformats.org/officeDocument/2006/relationships/hyperlink" Target="https://devoteamlearning.udemy.com/course/gitlab-ci-pipelines-ci-cd-and-devops-for-beginners/" TargetMode="External"/><Relationship Id="rId73" Type="http://schemas.openxmlformats.org/officeDocument/2006/relationships/hyperlink" Target="https://devoteamlearning.udemy.com/course/terraform-beginner-to-advanced/" TargetMode="External"/><Relationship Id="rId78" Type="http://schemas.openxmlformats.org/officeDocument/2006/relationships/hyperlink" Target="https://aws.amazon.com/certification/certified-solutions-architect-associate/" TargetMode="External"/><Relationship Id="rId94" Type="http://schemas.openxmlformats.org/officeDocument/2006/relationships/hyperlink" Target="https://devoteamlearning.udemy.com/course/ai102-azure/" TargetMode="External"/><Relationship Id="rId99" Type="http://schemas.openxmlformats.org/officeDocument/2006/relationships/hyperlink" Target="https://www.comptia.org/certifications/security" TargetMode="External"/><Relationship Id="rId101" Type="http://schemas.openxmlformats.org/officeDocument/2006/relationships/hyperlink" Target="https://devoteamlearning.udemy.com/course/ceh-practical-complete-course-exam/" TargetMode="External"/><Relationship Id="rId122" Type="http://schemas.openxmlformats.org/officeDocument/2006/relationships/hyperlink" Target="https://devoteamlearning.udemy.com/course/cloudera-hadoop-training/" TargetMode="External"/><Relationship Id="rId143" Type="http://schemas.openxmlformats.org/officeDocument/2006/relationships/hyperlink" Target="https://devoteamlearning.udemy.com/course/selenium-real-time-examplesinterview-questions/" TargetMode="External"/><Relationship Id="rId148" Type="http://schemas.openxmlformats.org/officeDocument/2006/relationships/hyperlink" Target="https://devoteamlearning.udemy.com/course/cypress-io-master-class/" TargetMode="External"/><Relationship Id="rId4" Type="http://schemas.openxmlformats.org/officeDocument/2006/relationships/hyperlink" Target="https://devoteamlearning.udemy.com/course/product-owner-course/" TargetMode="External"/><Relationship Id="rId9" Type="http://schemas.openxmlformats.org/officeDocument/2006/relationships/hyperlink" Target="https://scaledagile.com/training/leading-safe/" TargetMode="External"/><Relationship Id="rId26" Type="http://schemas.openxmlformats.org/officeDocument/2006/relationships/hyperlink" Target="https://devoteamlearning.udemy.com/course/az900-azure/" TargetMode="External"/><Relationship Id="rId47" Type="http://schemas.openxmlformats.org/officeDocument/2006/relationships/hyperlink" Target="https://devoteamlearning.udemy.com/course/linux-red-hat-certified-engineer-rhce-ex294/" TargetMode="External"/><Relationship Id="rId68" Type="http://schemas.openxmlformats.org/officeDocument/2006/relationships/hyperlink" Target="https://devoteamlearning.udemy.com/course/certified-kubernetes-administrator-with-practice-tests/" TargetMode="External"/><Relationship Id="rId89" Type="http://schemas.openxmlformats.org/officeDocument/2006/relationships/hyperlink" Target="http://devoteamlearning.udemy.com/course/togaf-10-ea-foundation/" TargetMode="External"/><Relationship Id="rId112" Type="http://schemas.openxmlformats.org/officeDocument/2006/relationships/hyperlink" Target="https://devoteamlearning.udemy.com/course/databricks-certified-data-engineer-associate/" TargetMode="External"/><Relationship Id="rId133" Type="http://schemas.openxmlformats.org/officeDocument/2006/relationships/hyperlink" Target="https://devoteamlearning.udemy.com/course/data-engineering-on-microsoft-azure/" TargetMode="External"/><Relationship Id="rId154" Type="http://schemas.openxmlformats.org/officeDocument/2006/relationships/hyperlink" Target="https://devoteamlearning.udemy.com/course/learn-jmeter-from-scratch-performance-load-testing-tool/" TargetMode="External"/><Relationship Id="rId16" Type="http://schemas.openxmlformats.org/officeDocument/2006/relationships/hyperlink" Target="https://devoteamlearning.udemy.com/course/service-management-itil-4/" TargetMode="External"/><Relationship Id="rId37" Type="http://schemas.openxmlformats.org/officeDocument/2006/relationships/hyperlink" Target="https://devoteamlearning.udemy.com/course/azure100/" TargetMode="External"/><Relationship Id="rId58" Type="http://schemas.openxmlformats.org/officeDocument/2006/relationships/hyperlink" Target="https://devoteamlearning.udemy.com/course/prometheus-course/" TargetMode="External"/><Relationship Id="rId79" Type="http://schemas.openxmlformats.org/officeDocument/2006/relationships/hyperlink" Target="https://devoteamlearning.udemy.com/course/aws-solutions-architect-professional/" TargetMode="External"/><Relationship Id="rId102" Type="http://schemas.openxmlformats.org/officeDocument/2006/relationships/hyperlink" Target="https://www.eccouncil.org/programs/certified-ethical-hacker-ceh/" TargetMode="External"/><Relationship Id="rId123" Type="http://schemas.openxmlformats.org/officeDocument/2006/relationships/hyperlink" Target="https://www.cloudera.com/about/training/certification.html" TargetMode="External"/><Relationship Id="rId144" Type="http://schemas.openxmlformats.org/officeDocument/2006/relationships/hyperlink" Target="https://www.selenium.dev/" TargetMode="External"/><Relationship Id="rId90" Type="http://schemas.openxmlformats.org/officeDocument/2006/relationships/hyperlink" Target="https://www.opengroup.org/certifications/togaf" TargetMode="External"/><Relationship Id="rId27" Type="http://schemas.openxmlformats.org/officeDocument/2006/relationships/hyperlink" Target="https://learn.microsoft.com/certifications/azure-fundamentals/" TargetMode="External"/><Relationship Id="rId48" Type="http://schemas.openxmlformats.org/officeDocument/2006/relationships/hyperlink" Target="https://www.redhat.com/en/services/certification/rhce" TargetMode="External"/><Relationship Id="rId69" Type="http://schemas.openxmlformats.org/officeDocument/2006/relationships/hyperlink" Target="https://www.cncf.io/certification/cka/" TargetMode="External"/><Relationship Id="rId113" Type="http://schemas.openxmlformats.org/officeDocument/2006/relationships/hyperlink" Target="https://devoteamlearning.udemy.com/course/databricks-certified-data-engineer-associate/" TargetMode="External"/><Relationship Id="rId134" Type="http://schemas.openxmlformats.org/officeDocument/2006/relationships/hyperlink" Target="https://devoteamlearning.udemy.com/course/data-engineering-on-microsoft-azure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8"/>
  <dimension ref="A1:A49"/>
  <sheetViews>
    <sheetView workbookViewId="0"/>
  </sheetViews>
  <sheetFormatPr baseColWidth="10" defaultColWidth="9.140625" defaultRowHeight="15" x14ac:dyDescent="0.25"/>
  <cols>
    <col min="1" max="1" width="100" customWidth="1"/>
  </cols>
  <sheetData>
    <row r="1" spans="1:1" ht="18.75" customHeight="1" x14ac:dyDescent="0.25">
      <c r="A1" s="23" t="s">
        <v>0</v>
      </c>
    </row>
    <row r="2" spans="1:1" x14ac:dyDescent="0.25">
      <c r="A2" s="24"/>
    </row>
    <row r="3" spans="1:1" x14ac:dyDescent="0.25">
      <c r="A3" s="24" t="s">
        <v>1</v>
      </c>
    </row>
    <row r="4" spans="1:1" x14ac:dyDescent="0.25">
      <c r="A4" s="24" t="s">
        <v>2</v>
      </c>
    </row>
    <row r="5" spans="1:1" x14ac:dyDescent="0.25">
      <c r="A5" s="24" t="s">
        <v>3</v>
      </c>
    </row>
    <row r="6" spans="1:1" x14ac:dyDescent="0.25">
      <c r="A6" s="24"/>
    </row>
    <row r="7" spans="1:1" ht="18.75" customHeight="1" x14ac:dyDescent="0.25">
      <c r="A7" s="23" t="s">
        <v>4</v>
      </c>
    </row>
    <row r="8" spans="1:1" x14ac:dyDescent="0.25">
      <c r="A8" s="24"/>
    </row>
    <row r="9" spans="1:1" x14ac:dyDescent="0.25">
      <c r="A9" s="25" t="s">
        <v>5</v>
      </c>
    </row>
    <row r="10" spans="1:1" x14ac:dyDescent="0.25">
      <c r="A10" s="24" t="s">
        <v>6</v>
      </c>
    </row>
    <row r="11" spans="1:1" x14ac:dyDescent="0.25">
      <c r="A11" s="24" t="s">
        <v>7</v>
      </c>
    </row>
    <row r="12" spans="1:1" x14ac:dyDescent="0.25">
      <c r="A12" s="24" t="s">
        <v>8</v>
      </c>
    </row>
    <row r="13" spans="1:1" x14ac:dyDescent="0.25">
      <c r="A13" s="24"/>
    </row>
    <row r="14" spans="1:1" x14ac:dyDescent="0.25">
      <c r="A14" s="25" t="s">
        <v>9</v>
      </c>
    </row>
    <row r="15" spans="1:1" x14ac:dyDescent="0.25">
      <c r="A15" s="24" t="s">
        <v>10</v>
      </c>
    </row>
    <row r="16" spans="1:1" x14ac:dyDescent="0.25">
      <c r="A16" s="24" t="s">
        <v>11</v>
      </c>
    </row>
    <row r="17" spans="1:1" x14ac:dyDescent="0.25">
      <c r="A17" s="24" t="s">
        <v>12</v>
      </c>
    </row>
    <row r="18" spans="1:1" x14ac:dyDescent="0.25">
      <c r="A18" s="24" t="s">
        <v>13</v>
      </c>
    </row>
    <row r="19" spans="1:1" x14ac:dyDescent="0.25">
      <c r="A19" s="24" t="s">
        <v>14</v>
      </c>
    </row>
    <row r="20" spans="1:1" x14ac:dyDescent="0.25">
      <c r="A20" s="24" t="s">
        <v>15</v>
      </c>
    </row>
    <row r="21" spans="1:1" x14ac:dyDescent="0.25">
      <c r="A21" s="24"/>
    </row>
    <row r="22" spans="1:1" x14ac:dyDescent="0.25">
      <c r="A22" s="25" t="s">
        <v>16</v>
      </c>
    </row>
    <row r="23" spans="1:1" x14ac:dyDescent="0.25">
      <c r="A23" s="24" t="s">
        <v>17</v>
      </c>
    </row>
    <row r="24" spans="1:1" x14ac:dyDescent="0.25">
      <c r="A24" s="24" t="s">
        <v>18</v>
      </c>
    </row>
    <row r="25" spans="1:1" x14ac:dyDescent="0.25">
      <c r="A25" s="24"/>
    </row>
    <row r="26" spans="1:1" x14ac:dyDescent="0.25">
      <c r="A26" s="25" t="s">
        <v>19</v>
      </c>
    </row>
    <row r="27" spans="1:1" x14ac:dyDescent="0.25">
      <c r="A27" s="24" t="s">
        <v>20</v>
      </c>
    </row>
    <row r="28" spans="1:1" x14ac:dyDescent="0.25">
      <c r="A28" s="24" t="s">
        <v>21</v>
      </c>
    </row>
    <row r="29" spans="1:1" x14ac:dyDescent="0.25">
      <c r="A29" s="24"/>
    </row>
    <row r="30" spans="1:1" x14ac:dyDescent="0.25">
      <c r="A30" s="25" t="s">
        <v>22</v>
      </c>
    </row>
    <row r="31" spans="1:1" x14ac:dyDescent="0.25">
      <c r="A31" s="24" t="s">
        <v>23</v>
      </c>
    </row>
    <row r="32" spans="1:1" x14ac:dyDescent="0.25">
      <c r="A32" s="24" t="s">
        <v>24</v>
      </c>
    </row>
    <row r="33" spans="1:1" x14ac:dyDescent="0.25">
      <c r="A33" s="24" t="s">
        <v>25</v>
      </c>
    </row>
    <row r="34" spans="1:1" x14ac:dyDescent="0.25">
      <c r="A34" s="24"/>
    </row>
    <row r="35" spans="1:1" ht="18.75" customHeight="1" x14ac:dyDescent="0.25">
      <c r="A35" s="23" t="s">
        <v>26</v>
      </c>
    </row>
    <row r="36" spans="1:1" x14ac:dyDescent="0.25">
      <c r="A36" s="24"/>
    </row>
    <row r="37" spans="1:1" x14ac:dyDescent="0.25">
      <c r="A37" s="24" t="s">
        <v>27</v>
      </c>
    </row>
    <row r="38" spans="1:1" x14ac:dyDescent="0.25">
      <c r="A38" s="24" t="s">
        <v>28</v>
      </c>
    </row>
    <row r="39" spans="1:1" x14ac:dyDescent="0.25">
      <c r="A39" s="24" t="s">
        <v>29</v>
      </c>
    </row>
    <row r="40" spans="1:1" x14ac:dyDescent="0.25">
      <c r="A40" s="24" t="s">
        <v>30</v>
      </c>
    </row>
    <row r="41" spans="1:1" x14ac:dyDescent="0.25">
      <c r="A41" s="24" t="s">
        <v>31</v>
      </c>
    </row>
    <row r="42" spans="1:1" x14ac:dyDescent="0.25">
      <c r="A42" s="24" t="s">
        <v>32</v>
      </c>
    </row>
    <row r="43" spans="1:1" x14ac:dyDescent="0.25">
      <c r="A43" s="24" t="s">
        <v>33</v>
      </c>
    </row>
    <row r="44" spans="1:1" x14ac:dyDescent="0.25">
      <c r="A44" s="24" t="s">
        <v>34</v>
      </c>
    </row>
    <row r="45" spans="1:1" x14ac:dyDescent="0.25">
      <c r="A45" s="24"/>
    </row>
    <row r="46" spans="1:1" ht="18.75" customHeight="1" x14ac:dyDescent="0.25">
      <c r="A46" s="23" t="s">
        <v>35</v>
      </c>
    </row>
    <row r="47" spans="1:1" x14ac:dyDescent="0.25">
      <c r="A47" s="24"/>
    </row>
    <row r="48" spans="1:1" x14ac:dyDescent="0.25">
      <c r="A48" s="24" t="s">
        <v>36</v>
      </c>
    </row>
    <row r="49" spans="1:1" x14ac:dyDescent="0.25">
      <c r="A49" s="24" t="s">
        <v>37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E65"/>
  <sheetViews>
    <sheetView topLeftCell="A46" workbookViewId="0">
      <selection activeCell="M38" sqref="M38"/>
    </sheetView>
  </sheetViews>
  <sheetFormatPr baseColWidth="10" defaultColWidth="8.85546875" defaultRowHeight="15" x14ac:dyDescent="0.25"/>
  <cols>
    <col min="1" max="1" width="50.7109375" customWidth="1"/>
    <col min="2" max="3" width="15.7109375" customWidth="1"/>
    <col min="4" max="4" width="10.7109375" customWidth="1"/>
    <col min="5" max="5" width="12.7109375" customWidth="1"/>
  </cols>
  <sheetData>
    <row r="1" spans="1:5" ht="21" customHeight="1" x14ac:dyDescent="0.25">
      <c r="A1" s="40" t="s">
        <v>38</v>
      </c>
      <c r="B1" s="38"/>
      <c r="C1" s="38"/>
      <c r="D1" s="38"/>
      <c r="E1" s="38"/>
    </row>
    <row r="3" spans="1:5" x14ac:dyDescent="0.25">
      <c r="A3" s="1" t="s">
        <v>39</v>
      </c>
      <c r="B3" s="1" t="s">
        <v>40</v>
      </c>
      <c r="C3" s="1" t="s">
        <v>41</v>
      </c>
      <c r="D3" s="1" t="s">
        <v>42</v>
      </c>
      <c r="E3" s="1" t="s">
        <v>43</v>
      </c>
    </row>
    <row r="4" spans="1:5" ht="15.6" customHeight="1" x14ac:dyDescent="0.25">
      <c r="A4" s="39" t="s">
        <v>44</v>
      </c>
      <c r="B4" s="38"/>
      <c r="C4" s="38"/>
      <c r="D4" s="38"/>
      <c r="E4" s="38"/>
    </row>
    <row r="5" spans="1:5" x14ac:dyDescent="0.25">
      <c r="A5" s="2" t="s">
        <v>45</v>
      </c>
      <c r="B5" s="3" t="s">
        <v>46</v>
      </c>
      <c r="C5" s="3" t="s">
        <v>47</v>
      </c>
      <c r="D5" s="3">
        <v>40</v>
      </c>
      <c r="E5" s="4" t="s">
        <v>48</v>
      </c>
    </row>
    <row r="6" spans="1:5" x14ac:dyDescent="0.25">
      <c r="A6" s="2" t="s">
        <v>49</v>
      </c>
      <c r="B6" s="3" t="s">
        <v>50</v>
      </c>
      <c r="C6" s="3" t="s">
        <v>51</v>
      </c>
      <c r="D6" s="3">
        <v>80</v>
      </c>
      <c r="E6" s="4" t="s">
        <v>48</v>
      </c>
    </row>
    <row r="7" spans="1:5" x14ac:dyDescent="0.25">
      <c r="A7" s="2" t="s">
        <v>52</v>
      </c>
      <c r="B7" s="3" t="s">
        <v>53</v>
      </c>
      <c r="C7" s="3" t="s">
        <v>54</v>
      </c>
      <c r="D7" s="3">
        <v>20</v>
      </c>
      <c r="E7" s="4" t="s">
        <v>48</v>
      </c>
    </row>
    <row r="8" spans="1:5" x14ac:dyDescent="0.25">
      <c r="A8" s="2" t="s">
        <v>55</v>
      </c>
      <c r="B8" s="3" t="s">
        <v>56</v>
      </c>
      <c r="C8" s="3" t="s">
        <v>57</v>
      </c>
      <c r="D8" s="3">
        <v>80</v>
      </c>
      <c r="E8" s="4" t="s">
        <v>48</v>
      </c>
    </row>
    <row r="9" spans="1:5" x14ac:dyDescent="0.25">
      <c r="A9" s="2" t="s">
        <v>58</v>
      </c>
      <c r="B9" s="3" t="s">
        <v>59</v>
      </c>
      <c r="C9" s="3" t="s">
        <v>57</v>
      </c>
      <c r="D9" s="3">
        <v>60</v>
      </c>
      <c r="E9" s="5" t="s">
        <v>60</v>
      </c>
    </row>
    <row r="10" spans="1:5" x14ac:dyDescent="0.25">
      <c r="A10" s="2" t="s">
        <v>61</v>
      </c>
      <c r="B10" s="3" t="s">
        <v>62</v>
      </c>
      <c r="C10" s="3" t="s">
        <v>63</v>
      </c>
      <c r="D10" s="3">
        <v>20</v>
      </c>
      <c r="E10" s="4" t="s">
        <v>48</v>
      </c>
    </row>
    <row r="11" spans="1:5" x14ac:dyDescent="0.25">
      <c r="A11" s="2" t="s">
        <v>64</v>
      </c>
      <c r="B11" s="3" t="s">
        <v>65</v>
      </c>
      <c r="C11" s="3" t="s">
        <v>66</v>
      </c>
      <c r="D11" s="3">
        <v>50</v>
      </c>
      <c r="E11" s="4" t="s">
        <v>48</v>
      </c>
    </row>
    <row r="12" spans="1:5" x14ac:dyDescent="0.25">
      <c r="A12" s="2" t="s">
        <v>67</v>
      </c>
      <c r="B12" s="3" t="s">
        <v>68</v>
      </c>
      <c r="C12" s="3" t="s">
        <v>69</v>
      </c>
      <c r="D12" s="3">
        <v>40</v>
      </c>
      <c r="E12" s="4" t="s">
        <v>48</v>
      </c>
    </row>
    <row r="13" spans="1:5" x14ac:dyDescent="0.25">
      <c r="A13" s="2" t="s">
        <v>70</v>
      </c>
      <c r="B13" s="3" t="s">
        <v>71</v>
      </c>
      <c r="C13" s="3" t="s">
        <v>69</v>
      </c>
      <c r="D13" s="3">
        <v>20</v>
      </c>
      <c r="E13" s="5" t="s">
        <v>60</v>
      </c>
    </row>
    <row r="15" spans="1:5" ht="15.6" customHeight="1" x14ac:dyDescent="0.25">
      <c r="A15" s="39" t="s">
        <v>72</v>
      </c>
      <c r="B15" s="38"/>
      <c r="C15" s="38"/>
      <c r="D15" s="38"/>
      <c r="E15" s="38"/>
    </row>
    <row r="16" spans="1:5" x14ac:dyDescent="0.25">
      <c r="A16" s="2" t="s">
        <v>73</v>
      </c>
      <c r="B16" s="3" t="s">
        <v>74</v>
      </c>
      <c r="C16" s="3" t="s">
        <v>47</v>
      </c>
      <c r="D16" s="3">
        <v>40</v>
      </c>
      <c r="E16" s="4" t="s">
        <v>48</v>
      </c>
    </row>
    <row r="17" spans="1:5" x14ac:dyDescent="0.25">
      <c r="A17" s="2" t="s">
        <v>75</v>
      </c>
      <c r="B17" s="3" t="s">
        <v>76</v>
      </c>
      <c r="C17" s="3" t="s">
        <v>47</v>
      </c>
      <c r="D17" s="3">
        <v>20</v>
      </c>
      <c r="E17" s="5" t="s">
        <v>60</v>
      </c>
    </row>
    <row r="18" spans="1:5" x14ac:dyDescent="0.25">
      <c r="A18" s="2" t="s">
        <v>77</v>
      </c>
      <c r="B18" s="3" t="s">
        <v>78</v>
      </c>
      <c r="C18" s="3" t="s">
        <v>51</v>
      </c>
      <c r="D18" s="3">
        <v>100</v>
      </c>
      <c r="E18" s="4" t="s">
        <v>48</v>
      </c>
    </row>
    <row r="19" spans="1:5" x14ac:dyDescent="0.25">
      <c r="A19" s="2" t="s">
        <v>79</v>
      </c>
      <c r="B19" s="3" t="s">
        <v>80</v>
      </c>
      <c r="C19" s="3" t="s">
        <v>54</v>
      </c>
      <c r="D19" s="3">
        <v>60</v>
      </c>
      <c r="E19" s="4" t="s">
        <v>48</v>
      </c>
    </row>
    <row r="20" spans="1:5" x14ac:dyDescent="0.25">
      <c r="A20" s="2" t="s">
        <v>81</v>
      </c>
      <c r="B20" s="3" t="s">
        <v>82</v>
      </c>
      <c r="C20" s="3" t="s">
        <v>54</v>
      </c>
      <c r="D20" s="3">
        <v>50</v>
      </c>
      <c r="E20" s="4" t="s">
        <v>48</v>
      </c>
    </row>
    <row r="21" spans="1:5" x14ac:dyDescent="0.25">
      <c r="A21" s="2" t="s">
        <v>83</v>
      </c>
      <c r="B21" s="3" t="s">
        <v>84</v>
      </c>
      <c r="C21" s="3" t="s">
        <v>57</v>
      </c>
      <c r="D21" s="3">
        <v>100</v>
      </c>
      <c r="E21" s="4" t="s">
        <v>48</v>
      </c>
    </row>
    <row r="22" spans="1:5" x14ac:dyDescent="0.25">
      <c r="A22" s="2" t="s">
        <v>85</v>
      </c>
      <c r="B22" s="3" t="s">
        <v>86</v>
      </c>
      <c r="C22" s="3" t="s">
        <v>57</v>
      </c>
      <c r="D22" s="3">
        <v>100</v>
      </c>
      <c r="E22" s="4" t="s">
        <v>48</v>
      </c>
    </row>
    <row r="23" spans="1:5" x14ac:dyDescent="0.25">
      <c r="A23" s="2" t="s">
        <v>87</v>
      </c>
      <c r="B23" s="3" t="s">
        <v>88</v>
      </c>
      <c r="C23" s="3" t="s">
        <v>57</v>
      </c>
      <c r="D23" s="3">
        <v>40</v>
      </c>
      <c r="E23" s="4" t="s">
        <v>48</v>
      </c>
    </row>
    <row r="24" spans="1:5" x14ac:dyDescent="0.25">
      <c r="A24" s="2" t="s">
        <v>89</v>
      </c>
      <c r="B24" s="3" t="s">
        <v>90</v>
      </c>
      <c r="C24" s="3" t="s">
        <v>57</v>
      </c>
      <c r="D24" s="3">
        <v>50</v>
      </c>
      <c r="E24" s="5" t="s">
        <v>60</v>
      </c>
    </row>
    <row r="25" spans="1:5" x14ac:dyDescent="0.25">
      <c r="A25" s="2" t="s">
        <v>91</v>
      </c>
      <c r="B25" s="3" t="s">
        <v>92</v>
      </c>
      <c r="C25" s="3" t="s">
        <v>57</v>
      </c>
      <c r="D25" s="3">
        <v>40</v>
      </c>
      <c r="E25" s="5" t="s">
        <v>60</v>
      </c>
    </row>
    <row r="26" spans="1:5" x14ac:dyDescent="0.25">
      <c r="A26" s="2" t="s">
        <v>93</v>
      </c>
      <c r="B26" s="3" t="s">
        <v>94</v>
      </c>
      <c r="C26" s="3" t="s">
        <v>57</v>
      </c>
      <c r="D26" s="3">
        <v>120</v>
      </c>
      <c r="E26" s="5" t="s">
        <v>60</v>
      </c>
    </row>
    <row r="27" spans="1:5" x14ac:dyDescent="0.25">
      <c r="A27" s="2" t="s">
        <v>95</v>
      </c>
      <c r="B27" s="3" t="s">
        <v>96</v>
      </c>
      <c r="C27" s="3" t="s">
        <v>97</v>
      </c>
      <c r="D27" s="3">
        <v>80</v>
      </c>
      <c r="E27" s="4" t="s">
        <v>48</v>
      </c>
    </row>
    <row r="28" spans="1:5" x14ac:dyDescent="0.25">
      <c r="A28" s="2" t="s">
        <v>98</v>
      </c>
      <c r="B28" s="3" t="s">
        <v>99</v>
      </c>
      <c r="C28" s="3" t="s">
        <v>97</v>
      </c>
      <c r="D28" s="3">
        <v>50</v>
      </c>
      <c r="E28" s="4" t="s">
        <v>48</v>
      </c>
    </row>
    <row r="29" spans="1:5" x14ac:dyDescent="0.25">
      <c r="A29" s="2" t="s">
        <v>100</v>
      </c>
      <c r="B29" s="3" t="s">
        <v>101</v>
      </c>
      <c r="C29" s="3" t="s">
        <v>97</v>
      </c>
      <c r="D29" s="3">
        <v>60</v>
      </c>
      <c r="E29" s="4" t="s">
        <v>48</v>
      </c>
    </row>
    <row r="30" spans="1:5" x14ac:dyDescent="0.25">
      <c r="A30" s="2" t="s">
        <v>102</v>
      </c>
      <c r="B30" s="3" t="s">
        <v>103</v>
      </c>
      <c r="C30" s="3" t="s">
        <v>97</v>
      </c>
      <c r="D30" s="3">
        <v>50</v>
      </c>
      <c r="E30" s="5" t="s">
        <v>60</v>
      </c>
    </row>
    <row r="31" spans="1:5" x14ac:dyDescent="0.25">
      <c r="A31" s="2" t="s">
        <v>104</v>
      </c>
      <c r="B31" s="3" t="s">
        <v>105</v>
      </c>
      <c r="C31" s="3" t="s">
        <v>97</v>
      </c>
      <c r="D31" s="3">
        <v>50</v>
      </c>
      <c r="E31" s="5" t="s">
        <v>60</v>
      </c>
    </row>
    <row r="32" spans="1:5" x14ac:dyDescent="0.25">
      <c r="A32" s="2" t="s">
        <v>106</v>
      </c>
      <c r="B32" s="3" t="s">
        <v>107</v>
      </c>
      <c r="C32" s="3" t="s">
        <v>63</v>
      </c>
      <c r="D32" s="3">
        <v>60</v>
      </c>
      <c r="E32" s="4" t="s">
        <v>48</v>
      </c>
    </row>
    <row r="33" spans="1:5" x14ac:dyDescent="0.25">
      <c r="A33" s="2" t="s">
        <v>108</v>
      </c>
      <c r="B33" s="3" t="s">
        <v>109</v>
      </c>
      <c r="C33" s="3" t="s">
        <v>110</v>
      </c>
      <c r="D33" s="3">
        <v>60</v>
      </c>
      <c r="E33" s="4" t="s">
        <v>48</v>
      </c>
    </row>
    <row r="34" spans="1:5" x14ac:dyDescent="0.25">
      <c r="A34" s="2" t="s">
        <v>111</v>
      </c>
      <c r="B34" s="3" t="s">
        <v>112</v>
      </c>
      <c r="C34" s="3" t="s">
        <v>110</v>
      </c>
      <c r="D34" s="3">
        <v>50</v>
      </c>
      <c r="E34" s="4" t="s">
        <v>48</v>
      </c>
    </row>
    <row r="35" spans="1:5" x14ac:dyDescent="0.25">
      <c r="A35" s="2" t="s">
        <v>113</v>
      </c>
      <c r="B35" s="3" t="s">
        <v>114</v>
      </c>
      <c r="C35" s="3" t="s">
        <v>110</v>
      </c>
      <c r="D35" s="3">
        <v>70</v>
      </c>
      <c r="E35" s="4" t="s">
        <v>48</v>
      </c>
    </row>
    <row r="36" spans="1:5" x14ac:dyDescent="0.25">
      <c r="A36" s="2" t="s">
        <v>115</v>
      </c>
      <c r="B36" s="3" t="s">
        <v>116</v>
      </c>
      <c r="C36" s="3" t="s">
        <v>110</v>
      </c>
      <c r="D36" s="3">
        <v>80</v>
      </c>
      <c r="E36" s="5" t="s">
        <v>60</v>
      </c>
    </row>
    <row r="37" spans="1:5" x14ac:dyDescent="0.25">
      <c r="A37" s="2" t="s">
        <v>117</v>
      </c>
      <c r="B37" s="3" t="s">
        <v>118</v>
      </c>
      <c r="C37" s="3" t="s">
        <v>110</v>
      </c>
      <c r="D37" s="3">
        <v>40</v>
      </c>
      <c r="E37" s="4" t="s">
        <v>48</v>
      </c>
    </row>
    <row r="38" spans="1:5" x14ac:dyDescent="0.25">
      <c r="A38" s="2" t="s">
        <v>119</v>
      </c>
      <c r="B38" s="3" t="s">
        <v>120</v>
      </c>
      <c r="C38" s="3" t="s">
        <v>110</v>
      </c>
      <c r="D38" s="3">
        <v>70</v>
      </c>
      <c r="E38" s="4" t="s">
        <v>48</v>
      </c>
    </row>
    <row r="39" spans="1:5" x14ac:dyDescent="0.25">
      <c r="A39" s="2" t="s">
        <v>121</v>
      </c>
      <c r="B39" s="3" t="s">
        <v>122</v>
      </c>
      <c r="C39" s="3" t="s">
        <v>69</v>
      </c>
      <c r="D39" s="3">
        <v>50</v>
      </c>
      <c r="E39" s="4" t="s">
        <v>48</v>
      </c>
    </row>
    <row r="40" spans="1:5" x14ac:dyDescent="0.25">
      <c r="A40" s="2" t="s">
        <v>123</v>
      </c>
      <c r="B40" s="3" t="s">
        <v>124</v>
      </c>
      <c r="C40" s="3" t="s">
        <v>69</v>
      </c>
      <c r="D40" s="3">
        <v>60</v>
      </c>
      <c r="E40" s="4" t="s">
        <v>48</v>
      </c>
    </row>
    <row r="41" spans="1:5" x14ac:dyDescent="0.25">
      <c r="A41" s="2" t="s">
        <v>125</v>
      </c>
      <c r="B41" s="3" t="s">
        <v>126</v>
      </c>
      <c r="C41" s="3" t="s">
        <v>69</v>
      </c>
      <c r="D41" s="3">
        <v>30</v>
      </c>
      <c r="E41" s="4" t="s">
        <v>48</v>
      </c>
    </row>
    <row r="42" spans="1:5" x14ac:dyDescent="0.25">
      <c r="A42" s="2" t="s">
        <v>127</v>
      </c>
      <c r="B42" s="3" t="s">
        <v>128</v>
      </c>
      <c r="C42" s="3" t="s">
        <v>69</v>
      </c>
      <c r="D42" s="3">
        <v>40</v>
      </c>
      <c r="E42" s="5" t="s">
        <v>60</v>
      </c>
    </row>
    <row r="43" spans="1:5" x14ac:dyDescent="0.25">
      <c r="A43" s="2" t="s">
        <v>129</v>
      </c>
      <c r="B43" s="3" t="s">
        <v>130</v>
      </c>
      <c r="C43" s="3" t="s">
        <v>69</v>
      </c>
      <c r="D43" s="3">
        <v>30</v>
      </c>
      <c r="E43" s="5" t="s">
        <v>60</v>
      </c>
    </row>
    <row r="45" spans="1:5" ht="15.6" customHeight="1" x14ac:dyDescent="0.25">
      <c r="A45" s="39" t="s">
        <v>131</v>
      </c>
      <c r="B45" s="38"/>
      <c r="C45" s="38"/>
      <c r="D45" s="38"/>
      <c r="E45" s="38"/>
    </row>
    <row r="46" spans="1:5" x14ac:dyDescent="0.25">
      <c r="A46" s="2" t="s">
        <v>132</v>
      </c>
      <c r="B46" s="3" t="s">
        <v>133</v>
      </c>
      <c r="C46" s="3" t="s">
        <v>47</v>
      </c>
      <c r="D46" s="3">
        <v>16</v>
      </c>
      <c r="E46" s="4" t="s">
        <v>48</v>
      </c>
    </row>
    <row r="47" spans="1:5" x14ac:dyDescent="0.25">
      <c r="A47" s="2" t="s">
        <v>134</v>
      </c>
      <c r="B47" s="3" t="s">
        <v>135</v>
      </c>
      <c r="C47" s="3" t="s">
        <v>54</v>
      </c>
      <c r="D47" s="3">
        <v>80</v>
      </c>
      <c r="E47" s="4" t="s">
        <v>48</v>
      </c>
    </row>
    <row r="48" spans="1:5" x14ac:dyDescent="0.25">
      <c r="A48" s="2" t="s">
        <v>136</v>
      </c>
      <c r="B48" s="3" t="s">
        <v>137</v>
      </c>
      <c r="C48" s="3" t="s">
        <v>54</v>
      </c>
      <c r="D48" s="3">
        <v>70</v>
      </c>
      <c r="E48" s="4" t="s">
        <v>48</v>
      </c>
    </row>
    <row r="49" spans="1:5" x14ac:dyDescent="0.25">
      <c r="A49" s="2" t="s">
        <v>138</v>
      </c>
      <c r="B49" s="3" t="s">
        <v>139</v>
      </c>
      <c r="C49" s="3" t="s">
        <v>97</v>
      </c>
      <c r="D49" s="3">
        <v>100</v>
      </c>
      <c r="E49" s="4" t="s">
        <v>48</v>
      </c>
    </row>
    <row r="50" spans="1:5" x14ac:dyDescent="0.25">
      <c r="A50" s="2" t="s">
        <v>140</v>
      </c>
      <c r="B50" s="3" t="s">
        <v>141</v>
      </c>
      <c r="C50" s="3" t="s">
        <v>66</v>
      </c>
      <c r="D50" s="3">
        <v>100</v>
      </c>
      <c r="E50" s="5" t="s">
        <v>60</v>
      </c>
    </row>
    <row r="51" spans="1:5" x14ac:dyDescent="0.25">
      <c r="A51" s="2" t="s">
        <v>142</v>
      </c>
      <c r="B51" s="3" t="s">
        <v>143</v>
      </c>
      <c r="C51" s="3" t="s">
        <v>110</v>
      </c>
      <c r="D51" s="3">
        <v>80</v>
      </c>
      <c r="E51" s="4" t="s">
        <v>48</v>
      </c>
    </row>
    <row r="52" spans="1:5" x14ac:dyDescent="0.25">
      <c r="A52" s="2" t="s">
        <v>144</v>
      </c>
      <c r="B52" s="3" t="s">
        <v>145</v>
      </c>
      <c r="C52" s="3" t="s">
        <v>110</v>
      </c>
      <c r="D52" s="3">
        <v>90</v>
      </c>
      <c r="E52" s="4" t="s">
        <v>48</v>
      </c>
    </row>
    <row r="53" spans="1:5" x14ac:dyDescent="0.25">
      <c r="A53" s="2" t="s">
        <v>146</v>
      </c>
      <c r="B53" s="3" t="s">
        <v>147</v>
      </c>
      <c r="C53" s="3" t="s">
        <v>69</v>
      </c>
      <c r="D53" s="3">
        <v>80</v>
      </c>
      <c r="E53" s="4" t="s">
        <v>48</v>
      </c>
    </row>
    <row r="55" spans="1:5" ht="15.75" customHeight="1" x14ac:dyDescent="0.25">
      <c r="A55" s="37" t="s">
        <v>148</v>
      </c>
      <c r="B55" s="38"/>
      <c r="C55" s="38"/>
      <c r="D55" s="38"/>
      <c r="E55" s="38"/>
    </row>
    <row r="56" spans="1:5" x14ac:dyDescent="0.25">
      <c r="A56" s="18" t="s">
        <v>149</v>
      </c>
      <c r="B56" s="19" t="s">
        <v>150</v>
      </c>
      <c r="C56" s="19" t="s">
        <v>47</v>
      </c>
      <c r="D56" s="19">
        <v>24</v>
      </c>
      <c r="E56" s="20" t="s">
        <v>48</v>
      </c>
    </row>
    <row r="57" spans="1:5" x14ac:dyDescent="0.25">
      <c r="A57" s="18" t="s">
        <v>151</v>
      </c>
      <c r="B57" s="19" t="s">
        <v>152</v>
      </c>
      <c r="C57" s="19" t="s">
        <v>97</v>
      </c>
      <c r="D57" s="19">
        <v>120</v>
      </c>
      <c r="E57" s="20" t="s">
        <v>48</v>
      </c>
    </row>
    <row r="58" spans="1:5" x14ac:dyDescent="0.25">
      <c r="A58" s="18" t="s">
        <v>153</v>
      </c>
      <c r="B58" s="19" t="s">
        <v>154</v>
      </c>
      <c r="C58" s="19" t="s">
        <v>97</v>
      </c>
      <c r="D58" s="19">
        <v>150</v>
      </c>
      <c r="E58" s="20" t="s">
        <v>48</v>
      </c>
    </row>
    <row r="59" spans="1:5" x14ac:dyDescent="0.25">
      <c r="A59" s="18" t="s">
        <v>155</v>
      </c>
      <c r="B59" s="19" t="s">
        <v>156</v>
      </c>
      <c r="C59" s="19" t="s">
        <v>157</v>
      </c>
      <c r="D59" s="19">
        <v>80</v>
      </c>
      <c r="E59" s="20" t="s">
        <v>48</v>
      </c>
    </row>
    <row r="61" spans="1:5" ht="15.75" customHeight="1" x14ac:dyDescent="0.25">
      <c r="A61" s="37" t="s">
        <v>158</v>
      </c>
      <c r="B61" s="38"/>
      <c r="C61" s="38"/>
      <c r="D61" s="38"/>
      <c r="E61" s="38"/>
    </row>
    <row r="62" spans="1:5" x14ac:dyDescent="0.25">
      <c r="A62" s="18" t="s">
        <v>159</v>
      </c>
      <c r="B62" s="19" t="s">
        <v>160</v>
      </c>
      <c r="C62" s="19" t="s">
        <v>47</v>
      </c>
      <c r="D62" s="19">
        <v>16</v>
      </c>
      <c r="E62" s="20" t="s">
        <v>48</v>
      </c>
    </row>
    <row r="63" spans="1:5" x14ac:dyDescent="0.25">
      <c r="A63" s="18" t="s">
        <v>161</v>
      </c>
      <c r="B63" s="19" t="s">
        <v>162</v>
      </c>
      <c r="C63" s="19" t="s">
        <v>163</v>
      </c>
      <c r="D63" s="19">
        <v>100</v>
      </c>
      <c r="E63" s="20" t="s">
        <v>48</v>
      </c>
    </row>
    <row r="64" spans="1:5" x14ac:dyDescent="0.25">
      <c r="A64" s="18" t="s">
        <v>164</v>
      </c>
      <c r="B64" s="19" t="s">
        <v>165</v>
      </c>
      <c r="C64" s="19" t="s">
        <v>163</v>
      </c>
      <c r="D64" s="19">
        <v>40</v>
      </c>
      <c r="E64" s="21" t="s">
        <v>60</v>
      </c>
    </row>
    <row r="65" spans="1:5" x14ac:dyDescent="0.25">
      <c r="A65" s="18" t="s">
        <v>166</v>
      </c>
      <c r="B65" s="19" t="s">
        <v>167</v>
      </c>
      <c r="C65" s="19" t="s">
        <v>163</v>
      </c>
      <c r="D65" s="19">
        <v>16</v>
      </c>
      <c r="E65" s="20" t="s">
        <v>48</v>
      </c>
    </row>
  </sheetData>
  <mergeCells count="6">
    <mergeCell ref="A1:E1"/>
    <mergeCell ref="A61:E61"/>
    <mergeCell ref="A55:E55"/>
    <mergeCell ref="A4:E4"/>
    <mergeCell ref="A15:E15"/>
    <mergeCell ref="A45:E4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A1:N58"/>
  <sheetViews>
    <sheetView tabSelected="1" workbookViewId="0">
      <selection activeCell="A58" sqref="A58"/>
    </sheetView>
  </sheetViews>
  <sheetFormatPr baseColWidth="10" defaultColWidth="8.85546875" defaultRowHeight="15" x14ac:dyDescent="0.25"/>
  <cols>
    <col min="1" max="1" width="12.7109375" customWidth="1"/>
    <col min="2" max="2" width="17.7109375" bestFit="1" customWidth="1"/>
    <col min="3" max="3" width="47.140625" bestFit="1" customWidth="1"/>
    <col min="4" max="4" width="15.5703125" bestFit="1" customWidth="1"/>
    <col min="5" max="5" width="7.7109375" bestFit="1" customWidth="1"/>
    <col min="6" max="6" width="9" bestFit="1" customWidth="1"/>
    <col min="7" max="7" width="14.42578125" bestFit="1" customWidth="1"/>
    <col min="8" max="8" width="10.28515625" bestFit="1" customWidth="1"/>
    <col min="9" max="9" width="10.140625" bestFit="1" customWidth="1"/>
    <col min="10" max="10" width="12" bestFit="1" customWidth="1"/>
    <col min="11" max="11" width="14.42578125" bestFit="1" customWidth="1"/>
    <col min="12" max="12" width="6.5703125" bestFit="1" customWidth="1"/>
    <col min="13" max="13" width="10" bestFit="1" customWidth="1"/>
  </cols>
  <sheetData>
    <row r="1" spans="1:14" ht="21" customHeight="1" x14ac:dyDescent="0.25">
      <c r="A1" s="40" t="s">
        <v>168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</row>
    <row r="3" spans="1:14" ht="27.6" customHeight="1" x14ac:dyDescent="0.25">
      <c r="A3" s="1" t="s">
        <v>41</v>
      </c>
      <c r="B3" s="15" t="s">
        <v>169</v>
      </c>
      <c r="C3" s="1" t="s">
        <v>39</v>
      </c>
      <c r="D3" s="1" t="s">
        <v>40</v>
      </c>
      <c r="E3" s="1" t="s">
        <v>170</v>
      </c>
      <c r="F3" s="1" t="s">
        <v>171</v>
      </c>
      <c r="G3" s="1" t="s">
        <v>172</v>
      </c>
      <c r="H3" s="1" t="s">
        <v>173</v>
      </c>
      <c r="I3" s="1" t="s">
        <v>174</v>
      </c>
      <c r="J3" s="1" t="s">
        <v>175</v>
      </c>
      <c r="K3" s="1" t="s">
        <v>176</v>
      </c>
      <c r="L3" s="1" t="s">
        <v>42</v>
      </c>
      <c r="M3" s="1" t="s">
        <v>177</v>
      </c>
      <c r="N3" s="1" t="s">
        <v>178</v>
      </c>
    </row>
    <row r="4" spans="1:14" x14ac:dyDescent="0.25">
      <c r="A4" s="3" t="s">
        <v>47</v>
      </c>
      <c r="B4" s="16" t="s">
        <v>179</v>
      </c>
      <c r="C4" s="2" t="s">
        <v>45</v>
      </c>
      <c r="D4" s="3" t="s">
        <v>46</v>
      </c>
      <c r="E4" s="3" t="s">
        <v>180</v>
      </c>
      <c r="F4" s="3">
        <v>200</v>
      </c>
      <c r="G4" s="3">
        <v>2000</v>
      </c>
      <c r="H4" s="22" t="s">
        <v>181</v>
      </c>
      <c r="I4" s="22" t="s">
        <v>182</v>
      </c>
      <c r="J4" s="3" t="s">
        <v>183</v>
      </c>
      <c r="K4" s="6" t="s">
        <v>184</v>
      </c>
      <c r="L4" s="3">
        <v>40</v>
      </c>
      <c r="M4" s="4" t="s">
        <v>48</v>
      </c>
      <c r="N4" s="7" t="s">
        <v>185</v>
      </c>
    </row>
    <row r="5" spans="1:14" x14ac:dyDescent="0.25">
      <c r="A5" s="3" t="s">
        <v>47</v>
      </c>
      <c r="B5" s="16" t="s">
        <v>179</v>
      </c>
      <c r="C5" s="2" t="s">
        <v>73</v>
      </c>
      <c r="D5" s="3" t="s">
        <v>74</v>
      </c>
      <c r="E5" s="3" t="s">
        <v>180</v>
      </c>
      <c r="F5" s="3">
        <v>200</v>
      </c>
      <c r="G5" s="3">
        <v>2000</v>
      </c>
      <c r="H5" s="22" t="s">
        <v>181</v>
      </c>
      <c r="I5" s="22" t="s">
        <v>182</v>
      </c>
      <c r="J5" s="3" t="s">
        <v>183</v>
      </c>
      <c r="K5" s="8" t="s">
        <v>186</v>
      </c>
      <c r="L5" s="3">
        <v>40</v>
      </c>
      <c r="M5" s="4" t="s">
        <v>48</v>
      </c>
      <c r="N5" s="9" t="s">
        <v>187</v>
      </c>
    </row>
    <row r="6" spans="1:14" x14ac:dyDescent="0.25">
      <c r="A6" s="3" t="s">
        <v>47</v>
      </c>
      <c r="B6" s="16" t="s">
        <v>179</v>
      </c>
      <c r="C6" s="2" t="s">
        <v>132</v>
      </c>
      <c r="D6" s="3" t="s">
        <v>133</v>
      </c>
      <c r="E6" s="3" t="s">
        <v>188</v>
      </c>
      <c r="F6" s="3">
        <v>995</v>
      </c>
      <c r="G6" s="3">
        <v>9950</v>
      </c>
      <c r="H6" s="22" t="s">
        <v>181</v>
      </c>
      <c r="I6" s="22" t="s">
        <v>182</v>
      </c>
      <c r="J6" s="3" t="s">
        <v>189</v>
      </c>
      <c r="K6" s="8" t="s">
        <v>186</v>
      </c>
      <c r="L6" s="3">
        <v>16</v>
      </c>
      <c r="M6" s="4" t="s">
        <v>48</v>
      </c>
      <c r="N6" s="10" t="s">
        <v>190</v>
      </c>
    </row>
    <row r="7" spans="1:14" x14ac:dyDescent="0.25">
      <c r="A7" s="3" t="s">
        <v>47</v>
      </c>
      <c r="B7" s="16" t="s">
        <v>179</v>
      </c>
      <c r="C7" s="2" t="s">
        <v>149</v>
      </c>
      <c r="D7" s="3" t="s">
        <v>150</v>
      </c>
      <c r="E7" s="3" t="s">
        <v>188</v>
      </c>
      <c r="F7" s="3">
        <v>1295</v>
      </c>
      <c r="G7" s="3">
        <v>12950</v>
      </c>
      <c r="H7" s="22" t="s">
        <v>181</v>
      </c>
      <c r="I7" s="22" t="s">
        <v>182</v>
      </c>
      <c r="J7" s="3" t="s">
        <v>189</v>
      </c>
      <c r="K7" s="11" t="s">
        <v>191</v>
      </c>
      <c r="L7" s="3">
        <v>24</v>
      </c>
      <c r="M7" s="4" t="s">
        <v>48</v>
      </c>
      <c r="N7" s="12" t="s">
        <v>192</v>
      </c>
    </row>
    <row r="8" spans="1:14" x14ac:dyDescent="0.25">
      <c r="A8" s="3" t="s">
        <v>47</v>
      </c>
      <c r="B8" s="16" t="s">
        <v>179</v>
      </c>
      <c r="C8" s="2" t="s">
        <v>159</v>
      </c>
      <c r="D8" s="3" t="s">
        <v>160</v>
      </c>
      <c r="E8" s="3" t="s">
        <v>180</v>
      </c>
      <c r="F8" s="3">
        <v>200</v>
      </c>
      <c r="G8" s="3">
        <v>2000</v>
      </c>
      <c r="H8" s="22" t="s">
        <v>181</v>
      </c>
      <c r="I8" s="22" t="s">
        <v>182</v>
      </c>
      <c r="J8" s="3" t="s">
        <v>183</v>
      </c>
      <c r="K8" s="11" t="s">
        <v>191</v>
      </c>
      <c r="L8" s="3">
        <v>16</v>
      </c>
      <c r="M8" s="4" t="s">
        <v>48</v>
      </c>
      <c r="N8" s="13" t="s">
        <v>193</v>
      </c>
    </row>
    <row r="9" spans="1:14" x14ac:dyDescent="0.25">
      <c r="A9" s="3" t="s">
        <v>47</v>
      </c>
      <c r="B9" s="16" t="s">
        <v>179</v>
      </c>
      <c r="C9" s="2" t="s">
        <v>75</v>
      </c>
      <c r="D9" s="3" t="s">
        <v>76</v>
      </c>
      <c r="E9" s="3" t="s">
        <v>180</v>
      </c>
      <c r="F9" s="3">
        <v>383</v>
      </c>
      <c r="G9" s="3">
        <v>3830</v>
      </c>
      <c r="H9" s="22" t="s">
        <v>181</v>
      </c>
      <c r="I9" s="22" t="s">
        <v>182</v>
      </c>
      <c r="J9" s="3" t="s">
        <v>194</v>
      </c>
      <c r="K9" s="8" t="s">
        <v>186</v>
      </c>
      <c r="L9" s="3">
        <v>20</v>
      </c>
      <c r="M9" s="5" t="s">
        <v>60</v>
      </c>
      <c r="N9" s="9" t="s">
        <v>187</v>
      </c>
    </row>
    <row r="10" spans="1:14" x14ac:dyDescent="0.25">
      <c r="A10" s="3" t="s">
        <v>51</v>
      </c>
      <c r="B10" s="16" t="s">
        <v>51</v>
      </c>
      <c r="C10" s="2" t="s">
        <v>49</v>
      </c>
      <c r="D10" s="3" t="s">
        <v>50</v>
      </c>
      <c r="E10" s="3" t="s">
        <v>180</v>
      </c>
      <c r="F10" s="3">
        <v>245</v>
      </c>
      <c r="G10" s="3">
        <v>2450</v>
      </c>
      <c r="H10" s="22" t="s">
        <v>181</v>
      </c>
      <c r="I10" s="22" t="s">
        <v>182</v>
      </c>
      <c r="J10" s="3" t="s">
        <v>194</v>
      </c>
      <c r="K10" s="6" t="s">
        <v>184</v>
      </c>
      <c r="L10" s="3">
        <v>80</v>
      </c>
      <c r="M10" s="4" t="s">
        <v>48</v>
      </c>
      <c r="N10" s="7" t="s">
        <v>185</v>
      </c>
    </row>
    <row r="11" spans="1:14" x14ac:dyDescent="0.25">
      <c r="A11" s="3" t="s">
        <v>51</v>
      </c>
      <c r="B11" s="16" t="s">
        <v>51</v>
      </c>
      <c r="C11" s="2" t="s">
        <v>77</v>
      </c>
      <c r="D11" s="3" t="s">
        <v>78</v>
      </c>
      <c r="E11" s="3" t="s">
        <v>195</v>
      </c>
      <c r="F11" s="3">
        <v>250</v>
      </c>
      <c r="G11" s="3">
        <v>2500</v>
      </c>
      <c r="H11" s="22" t="s">
        <v>181</v>
      </c>
      <c r="I11" s="22" t="s">
        <v>182</v>
      </c>
      <c r="J11" s="3" t="s">
        <v>183</v>
      </c>
      <c r="K11" s="6" t="s">
        <v>184</v>
      </c>
      <c r="L11" s="3">
        <v>100</v>
      </c>
      <c r="M11" s="4" t="s">
        <v>48</v>
      </c>
      <c r="N11" s="9" t="s">
        <v>187</v>
      </c>
    </row>
    <row r="12" spans="1:14" x14ac:dyDescent="0.25">
      <c r="A12" s="3" t="s">
        <v>54</v>
      </c>
      <c r="B12" s="16" t="s">
        <v>54</v>
      </c>
      <c r="C12" s="2" t="s">
        <v>52</v>
      </c>
      <c r="D12" s="3" t="s">
        <v>53</v>
      </c>
      <c r="E12" s="3" t="s">
        <v>180</v>
      </c>
      <c r="F12" s="3">
        <v>99</v>
      </c>
      <c r="G12" s="3">
        <v>990</v>
      </c>
      <c r="H12" s="22" t="s">
        <v>181</v>
      </c>
      <c r="I12" s="22" t="s">
        <v>182</v>
      </c>
      <c r="J12" s="3" t="s">
        <v>194</v>
      </c>
      <c r="K12" s="6" t="s">
        <v>184</v>
      </c>
      <c r="L12" s="3">
        <v>20</v>
      </c>
      <c r="M12" s="4" t="s">
        <v>48</v>
      </c>
      <c r="N12" s="7" t="s">
        <v>185</v>
      </c>
    </row>
    <row r="13" spans="1:14" x14ac:dyDescent="0.25">
      <c r="A13" s="3" t="s">
        <v>54</v>
      </c>
      <c r="B13" s="16" t="s">
        <v>54</v>
      </c>
      <c r="C13" s="2" t="s">
        <v>79</v>
      </c>
      <c r="D13" s="3" t="s">
        <v>80</v>
      </c>
      <c r="E13" s="3" t="s">
        <v>180</v>
      </c>
      <c r="F13" s="3">
        <v>165</v>
      </c>
      <c r="G13" s="3">
        <v>1650</v>
      </c>
      <c r="H13" s="22" t="s">
        <v>181</v>
      </c>
      <c r="I13" s="22" t="s">
        <v>182</v>
      </c>
      <c r="J13" s="3" t="s">
        <v>189</v>
      </c>
      <c r="K13" s="6" t="s">
        <v>184</v>
      </c>
      <c r="L13" s="3">
        <v>60</v>
      </c>
      <c r="M13" s="4" t="s">
        <v>48</v>
      </c>
      <c r="N13" s="9" t="s">
        <v>187</v>
      </c>
    </row>
    <row r="14" spans="1:14" x14ac:dyDescent="0.25">
      <c r="A14" s="3" t="s">
        <v>54</v>
      </c>
      <c r="B14" s="16" t="s">
        <v>54</v>
      </c>
      <c r="C14" s="2" t="s">
        <v>81</v>
      </c>
      <c r="D14" s="3" t="s">
        <v>82</v>
      </c>
      <c r="E14" s="3" t="s">
        <v>180</v>
      </c>
      <c r="F14" s="3">
        <v>165</v>
      </c>
      <c r="G14" s="3">
        <v>1650</v>
      </c>
      <c r="H14" s="22" t="s">
        <v>181</v>
      </c>
      <c r="I14" s="22" t="s">
        <v>182</v>
      </c>
      <c r="J14" s="3" t="s">
        <v>189</v>
      </c>
      <c r="K14" s="6" t="s">
        <v>184</v>
      </c>
      <c r="L14" s="3">
        <v>50</v>
      </c>
      <c r="M14" s="4" t="s">
        <v>48</v>
      </c>
      <c r="N14" s="9" t="s">
        <v>187</v>
      </c>
    </row>
    <row r="15" spans="1:14" x14ac:dyDescent="0.25">
      <c r="A15" s="3" t="s">
        <v>54</v>
      </c>
      <c r="B15" s="16" t="s">
        <v>54</v>
      </c>
      <c r="C15" s="2" t="s">
        <v>134</v>
      </c>
      <c r="D15" s="3" t="s">
        <v>135</v>
      </c>
      <c r="E15" s="3" t="s">
        <v>180</v>
      </c>
      <c r="F15" s="3">
        <v>165</v>
      </c>
      <c r="G15" s="3">
        <v>1650</v>
      </c>
      <c r="H15" s="22" t="s">
        <v>181</v>
      </c>
      <c r="I15" s="22" t="s">
        <v>182</v>
      </c>
      <c r="J15" s="3" t="s">
        <v>189</v>
      </c>
      <c r="K15" s="8" t="s">
        <v>186</v>
      </c>
      <c r="L15" s="3">
        <v>80</v>
      </c>
      <c r="M15" s="4" t="s">
        <v>48</v>
      </c>
      <c r="N15" s="10" t="s">
        <v>190</v>
      </c>
    </row>
    <row r="16" spans="1:14" x14ac:dyDescent="0.25">
      <c r="A16" s="3" t="s">
        <v>54</v>
      </c>
      <c r="B16" s="16" t="s">
        <v>54</v>
      </c>
      <c r="C16" s="2" t="s">
        <v>136</v>
      </c>
      <c r="D16" s="3" t="s">
        <v>137</v>
      </c>
      <c r="E16" s="3" t="s">
        <v>180</v>
      </c>
      <c r="F16" s="3">
        <v>165</v>
      </c>
      <c r="G16" s="3">
        <v>1650</v>
      </c>
      <c r="H16" s="22" t="s">
        <v>181</v>
      </c>
      <c r="I16" s="22" t="s">
        <v>182</v>
      </c>
      <c r="J16" s="3" t="s">
        <v>189</v>
      </c>
      <c r="K16" s="8" t="s">
        <v>186</v>
      </c>
      <c r="L16" s="3">
        <v>70</v>
      </c>
      <c r="M16" s="4" t="s">
        <v>48</v>
      </c>
      <c r="N16" s="10" t="s">
        <v>190</v>
      </c>
    </row>
    <row r="17" spans="1:14" x14ac:dyDescent="0.25">
      <c r="A17" s="3" t="s">
        <v>57</v>
      </c>
      <c r="B17" s="16" t="s">
        <v>57</v>
      </c>
      <c r="C17" s="2" t="s">
        <v>83</v>
      </c>
      <c r="D17" s="3" t="s">
        <v>84</v>
      </c>
      <c r="E17" s="3" t="s">
        <v>180</v>
      </c>
      <c r="F17" s="3">
        <v>250</v>
      </c>
      <c r="G17" s="3">
        <v>2500</v>
      </c>
      <c r="H17" s="22" t="s">
        <v>181</v>
      </c>
      <c r="I17" s="22" t="s">
        <v>182</v>
      </c>
      <c r="J17" s="3" t="s">
        <v>183</v>
      </c>
      <c r="K17" s="6" t="s">
        <v>184</v>
      </c>
      <c r="L17" s="3">
        <v>100</v>
      </c>
      <c r="M17" s="4" t="s">
        <v>48</v>
      </c>
      <c r="N17" s="9" t="s">
        <v>187</v>
      </c>
    </row>
    <row r="18" spans="1:14" x14ac:dyDescent="0.25">
      <c r="A18" s="3" t="s">
        <v>57</v>
      </c>
      <c r="B18" s="16" t="s">
        <v>57</v>
      </c>
      <c r="C18" s="2" t="s">
        <v>55</v>
      </c>
      <c r="D18" s="3" t="s">
        <v>56</v>
      </c>
      <c r="E18" s="3" t="s">
        <v>196</v>
      </c>
      <c r="F18" s="3">
        <v>500</v>
      </c>
      <c r="G18" s="3">
        <v>5000</v>
      </c>
      <c r="H18" s="22" t="s">
        <v>181</v>
      </c>
      <c r="I18" s="22" t="s">
        <v>182</v>
      </c>
      <c r="J18" s="3" t="s">
        <v>197</v>
      </c>
      <c r="K18" s="6" t="s">
        <v>184</v>
      </c>
      <c r="L18" s="3">
        <v>80</v>
      </c>
      <c r="M18" s="4" t="s">
        <v>48</v>
      </c>
      <c r="N18" s="7" t="s">
        <v>185</v>
      </c>
    </row>
    <row r="19" spans="1:14" x14ac:dyDescent="0.25">
      <c r="A19" s="3" t="s">
        <v>57</v>
      </c>
      <c r="B19" s="16" t="s">
        <v>57</v>
      </c>
      <c r="C19" s="2" t="s">
        <v>85</v>
      </c>
      <c r="D19" s="3" t="s">
        <v>86</v>
      </c>
      <c r="E19" s="3" t="s">
        <v>198</v>
      </c>
      <c r="F19" s="3">
        <v>500</v>
      </c>
      <c r="G19" s="3">
        <v>5000</v>
      </c>
      <c r="H19" s="22" t="s">
        <v>181</v>
      </c>
      <c r="I19" s="22" t="s">
        <v>182</v>
      </c>
      <c r="J19" s="3" t="s">
        <v>197</v>
      </c>
      <c r="K19" s="8" t="s">
        <v>186</v>
      </c>
      <c r="L19" s="3">
        <v>100</v>
      </c>
      <c r="M19" s="4" t="s">
        <v>48</v>
      </c>
      <c r="N19" s="9" t="s">
        <v>187</v>
      </c>
    </row>
    <row r="20" spans="1:14" x14ac:dyDescent="0.25">
      <c r="A20" s="3" t="s">
        <v>57</v>
      </c>
      <c r="B20" s="16" t="s">
        <v>57</v>
      </c>
      <c r="C20" s="2" t="s">
        <v>58</v>
      </c>
      <c r="D20" s="3" t="s">
        <v>59</v>
      </c>
      <c r="E20" s="3" t="s">
        <v>180</v>
      </c>
      <c r="F20" s="3">
        <v>445</v>
      </c>
      <c r="G20" s="3">
        <v>4450</v>
      </c>
      <c r="H20" s="22" t="s">
        <v>181</v>
      </c>
      <c r="I20" s="22" t="s">
        <v>182</v>
      </c>
      <c r="J20" s="3" t="s">
        <v>197</v>
      </c>
      <c r="K20" s="8" t="s">
        <v>186</v>
      </c>
      <c r="L20" s="3">
        <v>60</v>
      </c>
      <c r="M20" s="5" t="s">
        <v>60</v>
      </c>
      <c r="N20" s="7" t="s">
        <v>185</v>
      </c>
    </row>
    <row r="21" spans="1:14" x14ac:dyDescent="0.25">
      <c r="A21" s="3" t="s">
        <v>57</v>
      </c>
      <c r="B21" s="16" t="s">
        <v>57</v>
      </c>
      <c r="C21" s="2" t="s">
        <v>87</v>
      </c>
      <c r="D21" s="3" t="s">
        <v>88</v>
      </c>
      <c r="E21" s="3" t="s">
        <v>180</v>
      </c>
      <c r="F21" s="3">
        <v>650</v>
      </c>
      <c r="G21" s="3">
        <v>6500</v>
      </c>
      <c r="H21" s="22" t="s">
        <v>181</v>
      </c>
      <c r="I21" s="22" t="s">
        <v>182</v>
      </c>
      <c r="J21" s="3" t="s">
        <v>183</v>
      </c>
      <c r="K21" s="6" t="s">
        <v>184</v>
      </c>
      <c r="L21" s="3">
        <v>40</v>
      </c>
      <c r="M21" s="4" t="s">
        <v>48</v>
      </c>
      <c r="N21" s="9" t="s">
        <v>187</v>
      </c>
    </row>
    <row r="22" spans="1:14" x14ac:dyDescent="0.25">
      <c r="A22" s="3" t="s">
        <v>57</v>
      </c>
      <c r="B22" s="16" t="s">
        <v>57</v>
      </c>
      <c r="C22" s="2" t="s">
        <v>89</v>
      </c>
      <c r="D22" s="3" t="s">
        <v>90</v>
      </c>
      <c r="E22" s="3" t="s">
        <v>180</v>
      </c>
      <c r="F22" s="3">
        <v>150</v>
      </c>
      <c r="G22" s="3">
        <v>1500</v>
      </c>
      <c r="H22" s="22" t="s">
        <v>181</v>
      </c>
      <c r="I22" s="22" t="s">
        <v>182</v>
      </c>
      <c r="J22" s="3" t="s">
        <v>183</v>
      </c>
      <c r="K22" s="11" t="s">
        <v>191</v>
      </c>
      <c r="L22" s="3">
        <v>50</v>
      </c>
      <c r="M22" s="5" t="s">
        <v>60</v>
      </c>
      <c r="N22" s="9" t="s">
        <v>187</v>
      </c>
    </row>
    <row r="23" spans="1:14" x14ac:dyDescent="0.25">
      <c r="A23" s="3" t="s">
        <v>57</v>
      </c>
      <c r="B23" s="16" t="s">
        <v>57</v>
      </c>
      <c r="C23" s="2" t="s">
        <v>91</v>
      </c>
      <c r="D23" s="3" t="s">
        <v>92</v>
      </c>
      <c r="E23" s="3" t="s">
        <v>180</v>
      </c>
      <c r="F23" s="3">
        <v>250</v>
      </c>
      <c r="G23" s="3">
        <v>2500</v>
      </c>
      <c r="H23" s="22" t="s">
        <v>181</v>
      </c>
      <c r="I23" s="22" t="s">
        <v>182</v>
      </c>
      <c r="J23" s="3" t="s">
        <v>183</v>
      </c>
      <c r="K23" s="8" t="s">
        <v>186</v>
      </c>
      <c r="L23" s="3">
        <v>40</v>
      </c>
      <c r="M23" s="5" t="s">
        <v>60</v>
      </c>
      <c r="N23" s="9" t="s">
        <v>187</v>
      </c>
    </row>
    <row r="24" spans="1:14" x14ac:dyDescent="0.25">
      <c r="A24" s="3" t="s">
        <v>57</v>
      </c>
      <c r="B24" s="16" t="s">
        <v>57</v>
      </c>
      <c r="C24" s="2" t="s">
        <v>93</v>
      </c>
      <c r="D24" s="3" t="s">
        <v>94</v>
      </c>
      <c r="E24" s="3" t="s">
        <v>199</v>
      </c>
      <c r="F24" s="3">
        <v>300</v>
      </c>
      <c r="G24" s="3">
        <v>3000</v>
      </c>
      <c r="H24" s="22" t="s">
        <v>181</v>
      </c>
      <c r="I24" s="22" t="s">
        <v>182</v>
      </c>
      <c r="J24" s="3" t="s">
        <v>197</v>
      </c>
      <c r="K24" s="8" t="s">
        <v>186</v>
      </c>
      <c r="L24" s="3">
        <v>120</v>
      </c>
      <c r="M24" s="5" t="s">
        <v>60</v>
      </c>
      <c r="N24" s="9" t="s">
        <v>187</v>
      </c>
    </row>
    <row r="25" spans="1:14" x14ac:dyDescent="0.25">
      <c r="A25" s="3" t="s">
        <v>97</v>
      </c>
      <c r="B25" s="16" t="s">
        <v>57</v>
      </c>
      <c r="C25" s="2" t="s">
        <v>95</v>
      </c>
      <c r="D25" s="3" t="s">
        <v>96</v>
      </c>
      <c r="E25" s="3" t="s">
        <v>200</v>
      </c>
      <c r="F25" s="3">
        <v>445</v>
      </c>
      <c r="G25" s="3">
        <v>4450</v>
      </c>
      <c r="H25" s="22" t="s">
        <v>181</v>
      </c>
      <c r="I25" s="22" t="s">
        <v>182</v>
      </c>
      <c r="J25" s="3" t="s">
        <v>197</v>
      </c>
      <c r="K25" s="6" t="s">
        <v>184</v>
      </c>
      <c r="L25" s="3">
        <v>80</v>
      </c>
      <c r="M25" s="4" t="s">
        <v>48</v>
      </c>
      <c r="N25" s="9" t="s">
        <v>187</v>
      </c>
    </row>
    <row r="26" spans="1:14" x14ac:dyDescent="0.25">
      <c r="A26" s="3" t="s">
        <v>97</v>
      </c>
      <c r="B26" s="16" t="s">
        <v>57</v>
      </c>
      <c r="C26" s="2" t="s">
        <v>138</v>
      </c>
      <c r="D26" s="3" t="s">
        <v>139</v>
      </c>
      <c r="E26" s="3" t="s">
        <v>200</v>
      </c>
      <c r="F26" s="3">
        <v>445</v>
      </c>
      <c r="G26" s="3">
        <v>4450</v>
      </c>
      <c r="H26" s="22" t="s">
        <v>181</v>
      </c>
      <c r="I26" s="22" t="s">
        <v>182</v>
      </c>
      <c r="J26" s="3" t="s">
        <v>197</v>
      </c>
      <c r="K26" s="8" t="s">
        <v>186</v>
      </c>
      <c r="L26" s="3">
        <v>100</v>
      </c>
      <c r="M26" s="4" t="s">
        <v>48</v>
      </c>
      <c r="N26" s="10" t="s">
        <v>190</v>
      </c>
    </row>
    <row r="27" spans="1:14" x14ac:dyDescent="0.25">
      <c r="A27" s="3" t="s">
        <v>97</v>
      </c>
      <c r="B27" s="16" t="s">
        <v>57</v>
      </c>
      <c r="C27" s="2" t="s">
        <v>151</v>
      </c>
      <c r="D27" s="3" t="s">
        <v>152</v>
      </c>
      <c r="E27" s="3" t="s">
        <v>200</v>
      </c>
      <c r="F27" s="3">
        <v>445</v>
      </c>
      <c r="G27" s="3">
        <v>4450</v>
      </c>
      <c r="H27" s="22" t="s">
        <v>181</v>
      </c>
      <c r="I27" s="22" t="s">
        <v>182</v>
      </c>
      <c r="J27" s="3" t="s">
        <v>183</v>
      </c>
      <c r="K27" s="11" t="s">
        <v>191</v>
      </c>
      <c r="L27" s="3">
        <v>120</v>
      </c>
      <c r="M27" s="4" t="s">
        <v>48</v>
      </c>
      <c r="N27" s="12" t="s">
        <v>192</v>
      </c>
    </row>
    <row r="28" spans="1:14" x14ac:dyDescent="0.25">
      <c r="A28" s="3" t="s">
        <v>97</v>
      </c>
      <c r="B28" s="16" t="s">
        <v>57</v>
      </c>
      <c r="C28" s="2" t="s">
        <v>98</v>
      </c>
      <c r="D28" s="3" t="s">
        <v>99</v>
      </c>
      <c r="E28" s="3" t="s">
        <v>201</v>
      </c>
      <c r="F28" s="3">
        <v>70</v>
      </c>
      <c r="G28" s="3">
        <v>700</v>
      </c>
      <c r="H28" s="22" t="s">
        <v>181</v>
      </c>
      <c r="I28" s="22" t="s">
        <v>182</v>
      </c>
      <c r="J28" s="3" t="s">
        <v>183</v>
      </c>
      <c r="K28" s="8" t="s">
        <v>186</v>
      </c>
      <c r="L28" s="3">
        <v>50</v>
      </c>
      <c r="M28" s="4" t="s">
        <v>48</v>
      </c>
      <c r="N28" s="9" t="s">
        <v>187</v>
      </c>
    </row>
    <row r="29" spans="1:14" x14ac:dyDescent="0.25">
      <c r="A29" s="3" t="s">
        <v>97</v>
      </c>
      <c r="B29" s="16" t="s">
        <v>202</v>
      </c>
      <c r="C29" s="2" t="s">
        <v>100</v>
      </c>
      <c r="D29" s="3" t="s">
        <v>101</v>
      </c>
      <c r="E29" s="3" t="s">
        <v>203</v>
      </c>
      <c r="F29" s="3">
        <v>150</v>
      </c>
      <c r="G29" s="3">
        <v>1500</v>
      </c>
      <c r="H29" s="22" t="s">
        <v>181</v>
      </c>
      <c r="I29" s="22" t="s">
        <v>182</v>
      </c>
      <c r="J29" s="3" t="s">
        <v>197</v>
      </c>
      <c r="K29" s="8" t="s">
        <v>186</v>
      </c>
      <c r="L29" s="3">
        <v>60</v>
      </c>
      <c r="M29" s="4" t="s">
        <v>48</v>
      </c>
      <c r="N29" s="9" t="s">
        <v>187</v>
      </c>
    </row>
    <row r="30" spans="1:14" x14ac:dyDescent="0.25">
      <c r="A30" s="3" t="s">
        <v>97</v>
      </c>
      <c r="B30" s="16" t="s">
        <v>57</v>
      </c>
      <c r="C30" s="2" t="s">
        <v>153</v>
      </c>
      <c r="D30" s="3" t="s">
        <v>154</v>
      </c>
      <c r="E30" s="3" t="s">
        <v>204</v>
      </c>
      <c r="F30" s="3">
        <v>300</v>
      </c>
      <c r="G30" s="3">
        <v>3000</v>
      </c>
      <c r="H30" s="22" t="s">
        <v>181</v>
      </c>
      <c r="I30" s="22" t="s">
        <v>182</v>
      </c>
      <c r="J30" s="3" t="s">
        <v>197</v>
      </c>
      <c r="K30" s="11" t="s">
        <v>191</v>
      </c>
      <c r="L30" s="3">
        <v>150</v>
      </c>
      <c r="M30" s="4" t="s">
        <v>48</v>
      </c>
      <c r="N30" s="12" t="s">
        <v>192</v>
      </c>
    </row>
    <row r="31" spans="1:14" x14ac:dyDescent="0.25">
      <c r="A31" s="3" t="s">
        <v>97</v>
      </c>
      <c r="B31" s="16" t="s">
        <v>205</v>
      </c>
      <c r="C31" s="2" t="s">
        <v>102</v>
      </c>
      <c r="D31" s="3" t="s">
        <v>103</v>
      </c>
      <c r="E31" s="3" t="s">
        <v>204</v>
      </c>
      <c r="F31" s="3">
        <v>150</v>
      </c>
      <c r="G31" s="3">
        <v>1500</v>
      </c>
      <c r="H31" s="22" t="s">
        <v>181</v>
      </c>
      <c r="I31" s="22" t="s">
        <v>182</v>
      </c>
      <c r="J31" s="3" t="s">
        <v>197</v>
      </c>
      <c r="K31" s="11" t="s">
        <v>191</v>
      </c>
      <c r="L31" s="3">
        <v>50</v>
      </c>
      <c r="M31" s="5" t="s">
        <v>60</v>
      </c>
      <c r="N31" s="9" t="s">
        <v>187</v>
      </c>
    </row>
    <row r="32" spans="1:14" x14ac:dyDescent="0.25">
      <c r="A32" s="3" t="s">
        <v>97</v>
      </c>
      <c r="B32" s="16" t="s">
        <v>57</v>
      </c>
      <c r="C32" s="2" t="s">
        <v>104</v>
      </c>
      <c r="D32" s="3" t="s">
        <v>105</v>
      </c>
      <c r="E32" s="3" t="s">
        <v>180</v>
      </c>
      <c r="F32" s="3">
        <v>125</v>
      </c>
      <c r="G32" s="3">
        <v>1250</v>
      </c>
      <c r="H32" s="22" t="s">
        <v>181</v>
      </c>
      <c r="I32" s="22" t="s">
        <v>182</v>
      </c>
      <c r="J32" s="3" t="s">
        <v>183</v>
      </c>
      <c r="K32" s="11" t="s">
        <v>191</v>
      </c>
      <c r="L32" s="3">
        <v>50</v>
      </c>
      <c r="M32" s="5" t="s">
        <v>60</v>
      </c>
      <c r="N32" s="9" t="s">
        <v>187</v>
      </c>
    </row>
    <row r="33" spans="1:14" x14ac:dyDescent="0.25">
      <c r="A33" s="3" t="s">
        <v>157</v>
      </c>
      <c r="B33" s="16" t="s">
        <v>179</v>
      </c>
      <c r="C33" s="2" t="s">
        <v>155</v>
      </c>
      <c r="D33" s="3" t="s">
        <v>156</v>
      </c>
      <c r="E33" s="3" t="s">
        <v>206</v>
      </c>
      <c r="F33" s="3">
        <v>595</v>
      </c>
      <c r="G33" s="3">
        <v>5950</v>
      </c>
      <c r="H33" s="22" t="s">
        <v>181</v>
      </c>
      <c r="I33" s="22" t="s">
        <v>182</v>
      </c>
      <c r="J33" s="3" t="s">
        <v>207</v>
      </c>
      <c r="K33" s="11" t="s">
        <v>191</v>
      </c>
      <c r="L33" s="3">
        <v>80</v>
      </c>
      <c r="M33" s="4" t="s">
        <v>48</v>
      </c>
      <c r="N33" s="12" t="s">
        <v>192</v>
      </c>
    </row>
    <row r="34" spans="1:14" x14ac:dyDescent="0.25">
      <c r="A34" s="3" t="s">
        <v>63</v>
      </c>
      <c r="B34" s="16" t="s">
        <v>179</v>
      </c>
      <c r="C34" s="2" t="s">
        <v>61</v>
      </c>
      <c r="D34" s="3" t="s">
        <v>62</v>
      </c>
      <c r="E34" s="3" t="s">
        <v>180</v>
      </c>
      <c r="F34" s="3">
        <v>99</v>
      </c>
      <c r="G34" s="3">
        <v>990</v>
      </c>
      <c r="H34" s="22" t="s">
        <v>181</v>
      </c>
      <c r="I34" s="22" t="s">
        <v>182</v>
      </c>
      <c r="J34" s="3" t="s">
        <v>194</v>
      </c>
      <c r="K34" s="8" t="s">
        <v>186</v>
      </c>
      <c r="L34" s="3">
        <v>20</v>
      </c>
      <c r="M34" s="4" t="s">
        <v>48</v>
      </c>
      <c r="N34" s="7" t="s">
        <v>185</v>
      </c>
    </row>
    <row r="35" spans="1:14" x14ac:dyDescent="0.25">
      <c r="A35" s="3" t="s">
        <v>63</v>
      </c>
      <c r="B35" s="16" t="s">
        <v>179</v>
      </c>
      <c r="C35" s="2" t="s">
        <v>106</v>
      </c>
      <c r="D35" s="3" t="s">
        <v>107</v>
      </c>
      <c r="E35" s="3" t="s">
        <v>180</v>
      </c>
      <c r="F35" s="3">
        <v>165</v>
      </c>
      <c r="G35" s="3">
        <v>1650</v>
      </c>
      <c r="H35" s="22" t="s">
        <v>181</v>
      </c>
      <c r="I35" s="22" t="s">
        <v>182</v>
      </c>
      <c r="J35" s="3" t="s">
        <v>189</v>
      </c>
      <c r="K35" s="8" t="s">
        <v>186</v>
      </c>
      <c r="L35" s="3">
        <v>60</v>
      </c>
      <c r="M35" s="4" t="s">
        <v>48</v>
      </c>
      <c r="N35" s="9" t="s">
        <v>187</v>
      </c>
    </row>
    <row r="36" spans="1:14" x14ac:dyDescent="0.25">
      <c r="A36" s="3" t="s">
        <v>66</v>
      </c>
      <c r="B36" s="16" t="s">
        <v>179</v>
      </c>
      <c r="C36" s="2" t="s">
        <v>64</v>
      </c>
      <c r="D36" s="3" t="s">
        <v>65</v>
      </c>
      <c r="E36" s="3" t="s">
        <v>180</v>
      </c>
      <c r="F36" s="3">
        <v>425</v>
      </c>
      <c r="G36" s="3">
        <v>4250</v>
      </c>
      <c r="H36" s="22" t="s">
        <v>181</v>
      </c>
      <c r="I36" s="22" t="s">
        <v>182</v>
      </c>
      <c r="J36" s="3" t="s">
        <v>197</v>
      </c>
      <c r="K36" s="11" t="s">
        <v>191</v>
      </c>
      <c r="L36" s="3">
        <v>50</v>
      </c>
      <c r="M36" s="4" t="s">
        <v>48</v>
      </c>
      <c r="N36" s="7" t="s">
        <v>185</v>
      </c>
    </row>
    <row r="37" spans="1:14" x14ac:dyDescent="0.25">
      <c r="A37" s="3" t="s">
        <v>66</v>
      </c>
      <c r="B37" s="16" t="s">
        <v>179</v>
      </c>
      <c r="C37" s="2" t="s">
        <v>140</v>
      </c>
      <c r="D37" s="3" t="s">
        <v>141</v>
      </c>
      <c r="E37" s="3" t="s">
        <v>208</v>
      </c>
      <c r="F37" s="3">
        <v>950</v>
      </c>
      <c r="G37" s="3">
        <v>9500</v>
      </c>
      <c r="H37" s="22" t="s">
        <v>181</v>
      </c>
      <c r="I37" s="22" t="s">
        <v>182</v>
      </c>
      <c r="J37" s="3" t="s">
        <v>197</v>
      </c>
      <c r="K37" s="11" t="s">
        <v>191</v>
      </c>
      <c r="L37" s="3">
        <v>100</v>
      </c>
      <c r="M37" s="5" t="s">
        <v>60</v>
      </c>
      <c r="N37" s="10" t="s">
        <v>190</v>
      </c>
    </row>
    <row r="38" spans="1:14" x14ac:dyDescent="0.25">
      <c r="A38" s="3" t="s">
        <v>163</v>
      </c>
      <c r="B38" s="16" t="s">
        <v>179</v>
      </c>
      <c r="C38" s="2" t="s">
        <v>161</v>
      </c>
      <c r="D38" s="3" t="s">
        <v>162</v>
      </c>
      <c r="E38" s="3" t="s">
        <v>209</v>
      </c>
      <c r="F38" s="3">
        <v>555</v>
      </c>
      <c r="G38" s="3">
        <v>5550</v>
      </c>
      <c r="H38" s="22" t="s">
        <v>181</v>
      </c>
      <c r="I38" s="22" t="s">
        <v>182</v>
      </c>
      <c r="J38" s="3" t="s">
        <v>197</v>
      </c>
      <c r="K38" s="11" t="s">
        <v>191</v>
      </c>
      <c r="L38" s="3">
        <v>100</v>
      </c>
      <c r="M38" s="4" t="s">
        <v>48</v>
      </c>
      <c r="N38" s="13" t="s">
        <v>193</v>
      </c>
    </row>
    <row r="39" spans="1:14" x14ac:dyDescent="0.25">
      <c r="A39" s="3" t="s">
        <v>163</v>
      </c>
      <c r="B39" s="16" t="s">
        <v>179</v>
      </c>
      <c r="C39" s="2" t="s">
        <v>164</v>
      </c>
      <c r="D39" s="3" t="s">
        <v>165</v>
      </c>
      <c r="E39" s="3" t="s">
        <v>210</v>
      </c>
      <c r="F39" s="3">
        <v>400</v>
      </c>
      <c r="G39" s="3">
        <v>4000</v>
      </c>
      <c r="H39" s="22" t="s">
        <v>181</v>
      </c>
      <c r="I39" s="22" t="s">
        <v>182</v>
      </c>
      <c r="J39" s="3" t="s">
        <v>197</v>
      </c>
      <c r="K39" s="11" t="s">
        <v>191</v>
      </c>
      <c r="L39" s="3">
        <v>40</v>
      </c>
      <c r="M39" s="5" t="s">
        <v>60</v>
      </c>
      <c r="N39" s="13" t="s">
        <v>193</v>
      </c>
    </row>
    <row r="40" spans="1:14" x14ac:dyDescent="0.25">
      <c r="A40" s="3" t="s">
        <v>163</v>
      </c>
      <c r="B40" s="16" t="s">
        <v>179</v>
      </c>
      <c r="C40" s="2" t="s">
        <v>166</v>
      </c>
      <c r="D40" s="3" t="s">
        <v>167</v>
      </c>
      <c r="E40" s="3" t="s">
        <v>180</v>
      </c>
      <c r="F40" s="3">
        <v>995</v>
      </c>
      <c r="G40" s="3">
        <v>9950</v>
      </c>
      <c r="H40" s="22" t="s">
        <v>181</v>
      </c>
      <c r="I40" s="22" t="s">
        <v>182</v>
      </c>
      <c r="J40" s="3" t="s">
        <v>183</v>
      </c>
      <c r="K40" s="8" t="s">
        <v>186</v>
      </c>
      <c r="L40" s="3">
        <v>16</v>
      </c>
      <c r="M40" s="4" t="s">
        <v>48</v>
      </c>
      <c r="N40" s="13" t="s">
        <v>193</v>
      </c>
    </row>
    <row r="41" spans="1:14" x14ac:dyDescent="0.25">
      <c r="A41" s="3" t="s">
        <v>110</v>
      </c>
      <c r="B41" s="16" t="s">
        <v>110</v>
      </c>
      <c r="C41" s="2" t="s">
        <v>108</v>
      </c>
      <c r="D41" s="3" t="s">
        <v>109</v>
      </c>
      <c r="E41" s="3" t="s">
        <v>180</v>
      </c>
      <c r="F41" s="3">
        <v>200</v>
      </c>
      <c r="G41" s="3">
        <v>2000</v>
      </c>
      <c r="H41" s="22" t="s">
        <v>181</v>
      </c>
      <c r="I41" s="22" t="s">
        <v>182</v>
      </c>
      <c r="J41" s="3" t="s">
        <v>183</v>
      </c>
      <c r="K41" s="6" t="s">
        <v>184</v>
      </c>
      <c r="L41" s="3">
        <v>60</v>
      </c>
      <c r="M41" s="4" t="s">
        <v>48</v>
      </c>
      <c r="N41" s="9" t="s">
        <v>185</v>
      </c>
    </row>
    <row r="42" spans="1:14" x14ac:dyDescent="0.25">
      <c r="A42" s="3" t="s">
        <v>110</v>
      </c>
      <c r="B42" s="16" t="s">
        <v>110</v>
      </c>
      <c r="C42" s="2" t="s">
        <v>211</v>
      </c>
      <c r="D42" s="3" t="s">
        <v>212</v>
      </c>
      <c r="E42" s="3" t="s">
        <v>180</v>
      </c>
      <c r="F42" s="3">
        <v>150</v>
      </c>
      <c r="G42" s="3">
        <v>1500</v>
      </c>
      <c r="H42" s="22" t="s">
        <v>181</v>
      </c>
      <c r="I42" s="22" t="s">
        <v>182</v>
      </c>
      <c r="J42" s="3" t="s">
        <v>183</v>
      </c>
      <c r="K42" s="6" t="s">
        <v>184</v>
      </c>
      <c r="L42" s="3">
        <v>50</v>
      </c>
      <c r="M42" s="4" t="s">
        <v>48</v>
      </c>
      <c r="N42" s="9" t="s">
        <v>185</v>
      </c>
    </row>
    <row r="43" spans="1:14" x14ac:dyDescent="0.25">
      <c r="A43" s="3" t="s">
        <v>110</v>
      </c>
      <c r="B43" s="16" t="s">
        <v>110</v>
      </c>
      <c r="C43" s="2" t="s">
        <v>213</v>
      </c>
      <c r="D43" s="3" t="s">
        <v>214</v>
      </c>
      <c r="E43" s="3" t="s">
        <v>180</v>
      </c>
      <c r="F43" s="3">
        <v>150</v>
      </c>
      <c r="G43" s="3">
        <v>1500</v>
      </c>
      <c r="H43" s="22" t="s">
        <v>181</v>
      </c>
      <c r="I43" s="22" t="s">
        <v>182</v>
      </c>
      <c r="J43" s="3" t="s">
        <v>183</v>
      </c>
      <c r="K43" s="6" t="s">
        <v>184</v>
      </c>
      <c r="L43" s="3">
        <v>45</v>
      </c>
      <c r="M43" s="4" t="s">
        <v>48</v>
      </c>
      <c r="N43" s="9" t="s">
        <v>185</v>
      </c>
    </row>
    <row r="44" spans="1:14" x14ac:dyDescent="0.25">
      <c r="A44" s="3" t="s">
        <v>110</v>
      </c>
      <c r="B44" s="16" t="s">
        <v>110</v>
      </c>
      <c r="C44" s="2" t="s">
        <v>115</v>
      </c>
      <c r="D44" s="3" t="s">
        <v>215</v>
      </c>
      <c r="E44" s="3" t="s">
        <v>180</v>
      </c>
      <c r="F44" s="3">
        <v>295</v>
      </c>
      <c r="G44" s="3">
        <v>2950</v>
      </c>
      <c r="H44" s="22" t="s">
        <v>181</v>
      </c>
      <c r="I44" s="22" t="s">
        <v>182</v>
      </c>
      <c r="J44" s="3" t="s">
        <v>183</v>
      </c>
      <c r="K44" s="8" t="s">
        <v>184</v>
      </c>
      <c r="L44" s="3">
        <v>80</v>
      </c>
      <c r="M44" s="5" t="s">
        <v>48</v>
      </c>
      <c r="N44" s="9" t="s">
        <v>185</v>
      </c>
    </row>
    <row r="45" spans="1:14" x14ac:dyDescent="0.25">
      <c r="A45" s="3" t="s">
        <v>110</v>
      </c>
      <c r="B45" s="16" t="s">
        <v>110</v>
      </c>
      <c r="C45" s="2" t="s">
        <v>216</v>
      </c>
      <c r="D45" s="3" t="s">
        <v>217</v>
      </c>
      <c r="E45" s="3" t="s">
        <v>180</v>
      </c>
      <c r="F45" s="3">
        <v>295</v>
      </c>
      <c r="G45" s="3">
        <v>2950</v>
      </c>
      <c r="H45" s="22" t="s">
        <v>181</v>
      </c>
      <c r="I45" s="22" t="s">
        <v>182</v>
      </c>
      <c r="J45" s="3" t="s">
        <v>183</v>
      </c>
      <c r="K45" s="8" t="s">
        <v>184</v>
      </c>
      <c r="L45" s="3">
        <v>70</v>
      </c>
      <c r="M45" s="4" t="s">
        <v>48</v>
      </c>
      <c r="N45" s="9" t="s">
        <v>187</v>
      </c>
    </row>
    <row r="46" spans="1:14" x14ac:dyDescent="0.25">
      <c r="A46" s="3" t="s">
        <v>110</v>
      </c>
      <c r="B46" s="16" t="s">
        <v>110</v>
      </c>
      <c r="C46" s="2" t="s">
        <v>218</v>
      </c>
      <c r="D46" s="3" t="s">
        <v>219</v>
      </c>
      <c r="E46" s="3" t="s">
        <v>180</v>
      </c>
      <c r="F46" s="3">
        <v>400</v>
      </c>
      <c r="G46" s="3">
        <v>4000</v>
      </c>
      <c r="H46" s="22" t="s">
        <v>181</v>
      </c>
      <c r="I46" s="22" t="s">
        <v>182</v>
      </c>
      <c r="J46" s="3" t="s">
        <v>183</v>
      </c>
      <c r="K46" s="8" t="s">
        <v>184</v>
      </c>
      <c r="L46" s="3">
        <v>90</v>
      </c>
      <c r="M46" s="4" t="s">
        <v>48</v>
      </c>
      <c r="N46" s="10" t="s">
        <v>190</v>
      </c>
    </row>
    <row r="47" spans="1:14" x14ac:dyDescent="0.25">
      <c r="A47" s="3" t="s">
        <v>110</v>
      </c>
      <c r="B47" s="16" t="s">
        <v>110</v>
      </c>
      <c r="C47" s="2" t="s">
        <v>220</v>
      </c>
      <c r="D47" s="3" t="s">
        <v>143</v>
      </c>
      <c r="E47" s="3" t="s">
        <v>221</v>
      </c>
      <c r="F47" s="3">
        <v>150</v>
      </c>
      <c r="G47" s="3">
        <v>1500</v>
      </c>
      <c r="H47" s="22" t="s">
        <v>181</v>
      </c>
      <c r="I47" s="22" t="s">
        <v>182</v>
      </c>
      <c r="J47" s="3" t="s">
        <v>197</v>
      </c>
      <c r="K47" s="8" t="s">
        <v>186</v>
      </c>
      <c r="L47" s="3">
        <v>80</v>
      </c>
      <c r="M47" s="4" t="s">
        <v>48</v>
      </c>
      <c r="N47" s="9" t="s">
        <v>190</v>
      </c>
    </row>
    <row r="48" spans="1:14" x14ac:dyDescent="0.25">
      <c r="A48" s="3" t="s">
        <v>110</v>
      </c>
      <c r="B48" s="16" t="s">
        <v>222</v>
      </c>
      <c r="C48" s="2" t="s">
        <v>223</v>
      </c>
      <c r="D48" s="3" t="s">
        <v>120</v>
      </c>
      <c r="E48" s="3" t="s">
        <v>180</v>
      </c>
      <c r="F48" s="3">
        <v>165</v>
      </c>
      <c r="G48" s="3">
        <v>1650</v>
      </c>
      <c r="H48" s="22" t="s">
        <v>181</v>
      </c>
      <c r="I48" s="22" t="s">
        <v>182</v>
      </c>
      <c r="J48" s="3" t="s">
        <v>189</v>
      </c>
      <c r="K48" s="11" t="s">
        <v>191</v>
      </c>
      <c r="L48" s="3">
        <v>70</v>
      </c>
      <c r="M48" s="4" t="s">
        <v>48</v>
      </c>
      <c r="N48" s="10" t="s">
        <v>187</v>
      </c>
    </row>
    <row r="49" spans="1:14" x14ac:dyDescent="0.25">
      <c r="A49" s="3" t="s">
        <v>69</v>
      </c>
      <c r="B49" s="16" t="s">
        <v>69</v>
      </c>
      <c r="C49" s="2" t="s">
        <v>67</v>
      </c>
      <c r="D49" s="3" t="s">
        <v>68</v>
      </c>
      <c r="E49" s="3" t="s">
        <v>224</v>
      </c>
      <c r="F49" s="3">
        <v>229</v>
      </c>
      <c r="G49" s="3">
        <v>2290</v>
      </c>
      <c r="H49" s="22" t="s">
        <v>181</v>
      </c>
      <c r="I49" s="22" t="s">
        <v>182</v>
      </c>
      <c r="J49" s="3" t="s">
        <v>194</v>
      </c>
      <c r="K49" s="6" t="s">
        <v>184</v>
      </c>
      <c r="L49" s="3">
        <v>40</v>
      </c>
      <c r="M49" s="4" t="s">
        <v>48</v>
      </c>
      <c r="N49" s="7" t="s">
        <v>185</v>
      </c>
    </row>
    <row r="50" spans="1:14" x14ac:dyDescent="0.25">
      <c r="A50" s="3" t="s">
        <v>69</v>
      </c>
      <c r="B50" s="16" t="s">
        <v>69</v>
      </c>
      <c r="C50" s="2" t="s">
        <v>121</v>
      </c>
      <c r="D50" s="3" t="s">
        <v>122</v>
      </c>
      <c r="E50" s="3" t="s">
        <v>225</v>
      </c>
      <c r="F50" s="3">
        <v>249</v>
      </c>
      <c r="G50" s="3">
        <v>2490</v>
      </c>
      <c r="H50" s="22" t="s">
        <v>181</v>
      </c>
      <c r="I50" s="22" t="s">
        <v>182</v>
      </c>
      <c r="J50" s="3" t="s">
        <v>197</v>
      </c>
      <c r="K50" s="6" t="s">
        <v>184</v>
      </c>
      <c r="L50" s="3">
        <v>50</v>
      </c>
      <c r="M50" s="4" t="s">
        <v>48</v>
      </c>
      <c r="N50" s="9" t="s">
        <v>187</v>
      </c>
    </row>
    <row r="51" spans="1:14" x14ac:dyDescent="0.25">
      <c r="A51" s="3" t="s">
        <v>69</v>
      </c>
      <c r="B51" s="16" t="s">
        <v>69</v>
      </c>
      <c r="C51" s="2" t="s">
        <v>123</v>
      </c>
      <c r="D51" s="3" t="s">
        <v>124</v>
      </c>
      <c r="E51" s="3" t="s">
        <v>226</v>
      </c>
      <c r="F51" s="3">
        <v>0</v>
      </c>
      <c r="G51" s="3">
        <v>0</v>
      </c>
      <c r="H51" s="22" t="s">
        <v>181</v>
      </c>
      <c r="I51" s="22" t="s">
        <v>182</v>
      </c>
      <c r="J51" s="3" t="s">
        <v>194</v>
      </c>
      <c r="K51" s="6" t="s">
        <v>184</v>
      </c>
      <c r="L51" s="3">
        <v>60</v>
      </c>
      <c r="M51" s="4" t="s">
        <v>48</v>
      </c>
      <c r="N51" s="9" t="s">
        <v>187</v>
      </c>
    </row>
    <row r="52" spans="1:14" x14ac:dyDescent="0.25">
      <c r="A52" s="3" t="s">
        <v>69</v>
      </c>
      <c r="B52" s="16" t="s">
        <v>69</v>
      </c>
      <c r="C52" s="2" t="s">
        <v>125</v>
      </c>
      <c r="D52" s="3" t="s">
        <v>126</v>
      </c>
      <c r="E52" s="3" t="s">
        <v>227</v>
      </c>
      <c r="F52" s="3">
        <v>199</v>
      </c>
      <c r="G52" s="3">
        <v>1990</v>
      </c>
      <c r="H52" s="22" t="s">
        <v>181</v>
      </c>
      <c r="I52" s="22" t="s">
        <v>182</v>
      </c>
      <c r="J52" s="3" t="s">
        <v>197</v>
      </c>
      <c r="K52" s="8" t="s">
        <v>186</v>
      </c>
      <c r="L52" s="3">
        <v>30</v>
      </c>
      <c r="M52" s="4" t="s">
        <v>48</v>
      </c>
      <c r="N52" s="9" t="s">
        <v>187</v>
      </c>
    </row>
    <row r="53" spans="1:14" x14ac:dyDescent="0.25">
      <c r="A53" s="3" t="s">
        <v>69</v>
      </c>
      <c r="B53" s="16" t="s">
        <v>69</v>
      </c>
      <c r="C53" s="2" t="s">
        <v>127</v>
      </c>
      <c r="D53" s="3" t="s">
        <v>128</v>
      </c>
      <c r="E53" s="3" t="s">
        <v>208</v>
      </c>
      <c r="F53" s="3">
        <v>0</v>
      </c>
      <c r="G53" s="3">
        <v>0</v>
      </c>
      <c r="H53" s="22" t="s">
        <v>181</v>
      </c>
      <c r="I53" s="22" t="s">
        <v>182</v>
      </c>
      <c r="J53" s="3" t="s">
        <v>194</v>
      </c>
      <c r="K53" s="8" t="s">
        <v>186</v>
      </c>
      <c r="L53" s="3">
        <v>40</v>
      </c>
      <c r="M53" s="5" t="s">
        <v>60</v>
      </c>
      <c r="N53" s="9" t="s">
        <v>187</v>
      </c>
    </row>
    <row r="54" spans="1:14" x14ac:dyDescent="0.25">
      <c r="A54" s="3" t="s">
        <v>69</v>
      </c>
      <c r="B54" s="16" t="s">
        <v>69</v>
      </c>
      <c r="C54" s="2" t="s">
        <v>70</v>
      </c>
      <c r="D54" s="3" t="s">
        <v>71</v>
      </c>
      <c r="E54" s="3" t="s">
        <v>180</v>
      </c>
      <c r="F54" s="3">
        <v>0</v>
      </c>
      <c r="G54" s="3">
        <v>0</v>
      </c>
      <c r="H54" s="22" t="s">
        <v>181</v>
      </c>
      <c r="I54" s="22" t="s">
        <v>182</v>
      </c>
      <c r="J54" s="3" t="s">
        <v>194</v>
      </c>
      <c r="K54" s="8" t="s">
        <v>186</v>
      </c>
      <c r="L54" s="3">
        <v>20</v>
      </c>
      <c r="M54" s="5" t="s">
        <v>60</v>
      </c>
      <c r="N54" s="7" t="s">
        <v>185</v>
      </c>
    </row>
    <row r="55" spans="1:14" x14ac:dyDescent="0.25">
      <c r="A55" s="3" t="s">
        <v>69</v>
      </c>
      <c r="B55" s="16" t="s">
        <v>69</v>
      </c>
      <c r="C55" s="2" t="s">
        <v>129</v>
      </c>
      <c r="D55" s="3" t="s">
        <v>130</v>
      </c>
      <c r="E55" s="3" t="s">
        <v>228</v>
      </c>
      <c r="F55" s="3">
        <v>0</v>
      </c>
      <c r="G55" s="3">
        <v>0</v>
      </c>
      <c r="H55" s="22" t="s">
        <v>181</v>
      </c>
      <c r="I55" s="22" t="s">
        <v>182</v>
      </c>
      <c r="J55" s="3" t="s">
        <v>194</v>
      </c>
      <c r="K55" s="8" t="s">
        <v>186</v>
      </c>
      <c r="L55" s="3">
        <v>30</v>
      </c>
      <c r="M55" s="5" t="s">
        <v>60</v>
      </c>
      <c r="N55" s="9" t="s">
        <v>187</v>
      </c>
    </row>
    <row r="56" spans="1:14" x14ac:dyDescent="0.25">
      <c r="A56" s="3" t="s">
        <v>69</v>
      </c>
      <c r="B56" s="16" t="s">
        <v>69</v>
      </c>
      <c r="C56" s="2" t="s">
        <v>146</v>
      </c>
      <c r="D56" s="3" t="s">
        <v>147</v>
      </c>
      <c r="E56" s="3" t="s">
        <v>229</v>
      </c>
      <c r="F56" s="3">
        <v>249</v>
      </c>
      <c r="G56" s="3">
        <v>2490</v>
      </c>
      <c r="H56" s="22" t="s">
        <v>181</v>
      </c>
      <c r="I56" s="22" t="s">
        <v>182</v>
      </c>
      <c r="J56" s="3" t="s">
        <v>197</v>
      </c>
      <c r="K56" s="11" t="s">
        <v>191</v>
      </c>
      <c r="L56" s="3">
        <v>80</v>
      </c>
      <c r="M56" s="4" t="s">
        <v>48</v>
      </c>
      <c r="N56" s="10" t="s">
        <v>190</v>
      </c>
    </row>
    <row r="57" spans="1:14" ht="49.9" customHeight="1" x14ac:dyDescent="0.25">
      <c r="A57" s="41" t="s">
        <v>230</v>
      </c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17"/>
    </row>
    <row r="58" spans="1:14" ht="15.6" customHeight="1" x14ac:dyDescent="0.25">
      <c r="A58" s="14" t="s">
        <v>231</v>
      </c>
    </row>
  </sheetData>
  <mergeCells count="2">
    <mergeCell ref="A57:M57"/>
    <mergeCell ref="A1:M1"/>
  </mergeCells>
  <dataValidations count="4">
    <dataValidation type="list" errorTitle="Invalid Squad" error="Invalid squad. Must be: .NET, Java, DevOps, Data, QA-Testing, or Agile" sqref="A4:A56" xr:uid="{00000000-0002-0000-0200-000000000000}">
      <formula1>".NET,Java,DevOps,Data,QA-Testing,Agile"</formula1>
    </dataValidation>
    <dataValidation type="list" errorTitle="Invalid Category" error="Invalid category. Must be: OBLIGATOIRE, RECOMMANDE, OPTIONNEL, or AVANCE" sqref="K4:K56" xr:uid="{00000000-0002-0000-0200-000001000000}">
      <formula1>"OBLIGATOIRE,RECOMMANDE,OPTIONNEL,AVANCE"</formula1>
    </dataValidation>
    <dataValidation type="list" errorTitle="Invalid Level" error="Invalid level. Must be: Junior, Senior, Lead, Expert, or Manager" sqref="N4:N56" xr:uid="{00000000-0002-0000-0200-000002000000}">
      <formula1>"Junior,Senior,Lead,Expert,Manager"</formula1>
    </dataValidation>
    <dataValidation type="list" errorTitle="Invalid Business Value" error="Invalid value. Must be: HAUTE, MOYENNE, or BASSE" sqref="M4:M56" xr:uid="{00000000-0002-0000-0200-000003000000}">
      <formula1>"HAUTE,MOYENNE,BASSE"</formula1>
    </dataValidation>
  </dataValidations>
  <hyperlinks>
    <hyperlink ref="G4" r:id="rId1" display="https://devoteamlearning.udemy.com/course/complete-agile-scrum-master-training-exam-simulator/" xr:uid="{00000000-0004-0000-0200-000000000000}"/>
    <hyperlink ref="H4" r:id="rId2" xr:uid="{00000000-0004-0000-0200-000001000000}"/>
    <hyperlink ref="I4" r:id="rId3" xr:uid="{00000000-0004-0000-0200-000002000000}"/>
    <hyperlink ref="G5" r:id="rId4" display="https://devoteamlearning.udemy.com/course/product-owner-course/" xr:uid="{00000000-0004-0000-0200-000003000000}"/>
    <hyperlink ref="H5" r:id="rId5" xr:uid="{00000000-0004-0000-0200-000004000000}"/>
    <hyperlink ref="I5" r:id="rId6" xr:uid="{00000000-0004-0000-0200-000005000000}"/>
    <hyperlink ref="G6" r:id="rId7" display="https://devoteamlearning.udemy.com/course/safe-agilist-6-leading-safe/" xr:uid="{00000000-0004-0000-0200-000006000000}"/>
    <hyperlink ref="H6" r:id="rId8" xr:uid="{00000000-0004-0000-0200-000007000000}"/>
    <hyperlink ref="I6" r:id="rId9" xr:uid="{00000000-0004-0000-0200-000008000000}"/>
    <hyperlink ref="G7" r:id="rId10" display="https://devoteamlearning.udemy.com/course/master-safe-60-release-train-engineer-safe-rte-essentials/" xr:uid="{00000000-0004-0000-0200-000009000000}"/>
    <hyperlink ref="H7" r:id="rId11" xr:uid="{00000000-0004-0000-0200-00000A000000}"/>
    <hyperlink ref="I7" r:id="rId12" xr:uid="{00000000-0004-0000-0200-00000B000000}"/>
    <hyperlink ref="G8" r:id="rId13" display="https://devoteamlearning.udemy.com/course/the-ultimate-agile-leader-certification-training/" xr:uid="{00000000-0004-0000-0200-00000C000000}"/>
    <hyperlink ref="H8" r:id="rId14" xr:uid="{00000000-0004-0000-0200-00000D000000}"/>
    <hyperlink ref="I8" r:id="rId15" xr:uid="{00000000-0004-0000-0200-00000E000000}"/>
    <hyperlink ref="G9" r:id="rId16" display="https://devoteamlearning.udemy.com/course/service-management-itil-4/" xr:uid="{00000000-0004-0000-0200-00000F000000}"/>
    <hyperlink ref="H9" r:id="rId17" xr:uid="{00000000-0004-0000-0200-000010000000}"/>
    <hyperlink ref="I9" r:id="rId18" xr:uid="{00000000-0004-0000-0200-000011000000}"/>
    <hyperlink ref="G10" r:id="rId19" display="https://devoteamlearning.udemy.com/course/ocp11_from_oca8/" xr:uid="{00000000-0004-0000-0200-000012000000}"/>
    <hyperlink ref="H10" r:id="rId20" xr:uid="{00000000-0004-0000-0200-000013000000}"/>
    <hyperlink ref="I10" r:id="rId21" xr:uid="{00000000-0004-0000-0200-000014000000}"/>
    <hyperlink ref="G11" r:id="rId22" display="https://devoteamlearning.udemy.com/open-badges/1435269161" xr:uid="{00000000-0004-0000-0200-000015000000}"/>
    <hyperlink ref="H11" r:id="rId23" xr:uid="{00000000-0004-0000-0200-000016000000}"/>
    <hyperlink ref="I11" r:id="rId24" xr:uid="{00000000-0004-0000-0200-000017000000}"/>
    <hyperlink ref="G12" r:id="rId25" display="https://devoteamlearning.udemy.com/course/az900-azure/" xr:uid="{00000000-0004-0000-0200-000018000000}"/>
    <hyperlink ref="H12" r:id="rId26" xr:uid="{00000000-0004-0000-0200-000019000000}"/>
    <hyperlink ref="I12" r:id="rId27" xr:uid="{00000000-0004-0000-0200-00001A000000}"/>
    <hyperlink ref="G13" r:id="rId28" display="https://devoteamlearning.udemy.com/course/70532-azure/" xr:uid="{00000000-0004-0000-0200-00001B000000}"/>
    <hyperlink ref="H13" r:id="rId29" xr:uid="{00000000-0004-0000-0200-00001C000000}"/>
    <hyperlink ref="I13" r:id="rId30" xr:uid="{00000000-0004-0000-0200-00001D000000}"/>
    <hyperlink ref="G14" r:id="rId31" display="https://devoteamlearning.udemy.com/course/70533-azure/" xr:uid="{00000000-0004-0000-0200-00001E000000}"/>
    <hyperlink ref="H14" r:id="rId32" xr:uid="{00000000-0004-0000-0200-00001F000000}"/>
    <hyperlink ref="I14" r:id="rId33" xr:uid="{00000000-0004-0000-0200-000020000000}"/>
    <hyperlink ref="G15" r:id="rId34" display="https://devoteamlearning.udemy.com/course/az301-azure/" xr:uid="{00000000-0004-0000-0200-000021000000}"/>
    <hyperlink ref="H15" r:id="rId35" xr:uid="{00000000-0004-0000-0200-000022000000}"/>
    <hyperlink ref="I15" r:id="rId36" xr:uid="{00000000-0004-0000-0200-000023000000}"/>
    <hyperlink ref="G16" r:id="rId37" display="https://devoteamlearning.udemy.com/course/azure100/" xr:uid="{00000000-0004-0000-0200-000024000000}"/>
    <hyperlink ref="H16" r:id="rId38" xr:uid="{00000000-0004-0000-0200-000025000000}"/>
    <hyperlink ref="I16" r:id="rId39" xr:uid="{00000000-0004-0000-0200-000026000000}"/>
    <hyperlink ref="G17" r:id="rId40" display="https://devoteamlearning.udemy.com/course/vsphere8vcp/" xr:uid="{00000000-0004-0000-0200-000027000000}"/>
    <hyperlink ref="H17" r:id="rId41" xr:uid="{00000000-0004-0000-0200-000028000000}"/>
    <hyperlink ref="I17" r:id="rId42" xr:uid="{00000000-0004-0000-0200-000029000000}"/>
    <hyperlink ref="G18" r:id="rId43" display="https://devoteamlearning.udemy.com/course/unofficial-linux-redhat-certified-system-administrator-rhcsa/" xr:uid="{00000000-0004-0000-0200-00002A000000}"/>
    <hyperlink ref="H18" r:id="rId44" xr:uid="{00000000-0004-0000-0200-00002B000000}"/>
    <hyperlink ref="I18" r:id="rId45" xr:uid="{00000000-0004-0000-0200-00002C000000}"/>
    <hyperlink ref="G19" r:id="rId46" display="https://devoteamlearning.udemy.com/course/linux-red-hat-certified-engineer-rhce-ex294/" xr:uid="{00000000-0004-0000-0200-00002D000000}"/>
    <hyperlink ref="H19" r:id="rId47" xr:uid="{00000000-0004-0000-0200-00002E000000}"/>
    <hyperlink ref="I19" r:id="rId48" xr:uid="{00000000-0004-0000-0200-00002F000000}"/>
    <hyperlink ref="G20" r:id="rId49" display="https://devoteamlearning.udemy.com/course/linux-foundation-certified-systems-administrator-lfcs/" xr:uid="{00000000-0004-0000-0200-000030000000}"/>
    <hyperlink ref="H20" r:id="rId50" xr:uid="{00000000-0004-0000-0200-000031000000}"/>
    <hyperlink ref="I20" r:id="rId51" xr:uid="{00000000-0004-0000-0200-000032000000}"/>
    <hyperlink ref="G21" r:id="rId52" display="https://devoteamlearning.udemy.com/course/gitlab-ci-pipelines-ci-cd-and-devops-for-beginners/" xr:uid="{00000000-0004-0000-0200-000033000000}"/>
    <hyperlink ref="H21" r:id="rId53" xr:uid="{00000000-0004-0000-0200-000034000000}"/>
    <hyperlink ref="I21" r:id="rId54" xr:uid="{00000000-0004-0000-0200-000035000000}"/>
    <hyperlink ref="G22" r:id="rId55" display="https://devoteamlearning.udemy.com/course/jenkins-from-zero-to-hero/" xr:uid="{00000000-0004-0000-0200-000036000000}"/>
    <hyperlink ref="H22" r:id="rId56" xr:uid="{00000000-0004-0000-0200-000037000000}"/>
    <hyperlink ref="I22" r:id="rId57" xr:uid="{00000000-0004-0000-0200-000038000000}"/>
    <hyperlink ref="G23" r:id="rId58" display="https://devoteamlearning.udemy.com/course/prometheus-course/" xr:uid="{00000000-0004-0000-0200-000039000000}"/>
    <hyperlink ref="H23" r:id="rId59" xr:uid="{00000000-0004-0000-0200-00003A000000}"/>
    <hyperlink ref="I23" r:id="rId60" xr:uid="{00000000-0004-0000-0200-00003B000000}"/>
    <hyperlink ref="G24" r:id="rId61" display="https://devoteamlearning.udemy.com/course/ccna-complete/" xr:uid="{00000000-0004-0000-0200-00003C000000}"/>
    <hyperlink ref="H24" r:id="rId62" xr:uid="{00000000-0004-0000-0200-00003D000000}"/>
    <hyperlink ref="I24" r:id="rId63" xr:uid="{00000000-0004-0000-0200-00003E000000}"/>
    <hyperlink ref="G25" r:id="rId64" display="https://devoteamlearning.udemy.com/course/certified-kubernetes-application-developer/" xr:uid="{00000000-0004-0000-0200-00003F000000}"/>
    <hyperlink ref="H25" r:id="rId65" xr:uid="{00000000-0004-0000-0200-000040000000}"/>
    <hyperlink ref="I25" r:id="rId66" xr:uid="{00000000-0004-0000-0200-000041000000}"/>
    <hyperlink ref="G26" r:id="rId67" display="https://devoteamlearning.udemy.com/course/certified-kubernetes-administrator-with-practice-tests/" xr:uid="{00000000-0004-0000-0200-000042000000}"/>
    <hyperlink ref="H26" r:id="rId68" xr:uid="{00000000-0004-0000-0200-000043000000}"/>
    <hyperlink ref="I26" r:id="rId69" xr:uid="{00000000-0004-0000-0200-000044000000}"/>
    <hyperlink ref="G27" r:id="rId70" display="https://devoteamlearning.udemy.com/course/certified-kubernetes-security-specialist-certification/" xr:uid="{00000000-0004-0000-0200-000045000000}"/>
    <hyperlink ref="H27" r:id="rId71" xr:uid="{00000000-0004-0000-0200-000046000000}"/>
    <hyperlink ref="I27" r:id="rId72" xr:uid="{00000000-0004-0000-0200-000047000000}"/>
    <hyperlink ref="G28" r:id="rId73" display="https://devoteamlearning.udemy.com/course/terraform-beginner-to-advanced/" xr:uid="{00000000-0004-0000-0200-000048000000}"/>
    <hyperlink ref="H28" r:id="rId74" xr:uid="{00000000-0004-0000-0200-000049000000}"/>
    <hyperlink ref="I28" r:id="rId75" xr:uid="{00000000-0004-0000-0200-00004A000000}"/>
    <hyperlink ref="G29" r:id="rId76" display="https://devoteamlearning.udemy.com/course/aws-certified-solutions-architect-associate-saa-c03/" xr:uid="{00000000-0004-0000-0200-00004B000000}"/>
    <hyperlink ref="H29" r:id="rId77" xr:uid="{00000000-0004-0000-0200-00004C000000}"/>
    <hyperlink ref="I29" r:id="rId78" xr:uid="{00000000-0004-0000-0200-00004D000000}"/>
    <hyperlink ref="G30" r:id="rId79" display="https://devoteamlearning.udemy.com/course/aws-solutions-architect-professional/" xr:uid="{00000000-0004-0000-0200-00004E000000}"/>
    <hyperlink ref="H30" r:id="rId80" xr:uid="{00000000-0004-0000-0200-00004F000000}"/>
    <hyperlink ref="I30" r:id="rId81" xr:uid="{00000000-0004-0000-0200-000050000000}"/>
    <hyperlink ref="G31" r:id="rId82" display="https://devoteamlearning.udemy.com/course/aws-certified-developer-associate-dva-c01/" xr:uid="{00000000-0004-0000-0200-000051000000}"/>
    <hyperlink ref="H31" r:id="rId83" xr:uid="{00000000-0004-0000-0200-000052000000}"/>
    <hyperlink ref="I31" r:id="rId84" xr:uid="{00000000-0004-0000-0200-000053000000}"/>
    <hyperlink ref="G32" r:id="rId85" display="https://devoteamlearning.udemy.com/course/google-cloud-associate-engineer/" xr:uid="{00000000-0004-0000-0200-000054000000}"/>
    <hyperlink ref="H32" r:id="rId86" xr:uid="{00000000-0004-0000-0200-000055000000}"/>
    <hyperlink ref="I32" r:id="rId87" xr:uid="{00000000-0004-0000-0200-000056000000}"/>
    <hyperlink ref="G33" r:id="rId88" display="http://devoteamlearning.udemy.com/course/togaf-10-ea-foundation/" xr:uid="{00000000-0004-0000-0200-000057000000}"/>
    <hyperlink ref="H33" r:id="rId89" xr:uid="{00000000-0004-0000-0200-000058000000}"/>
    <hyperlink ref="I33" r:id="rId90" xr:uid="{00000000-0004-0000-0200-000059000000}"/>
    <hyperlink ref="G34" r:id="rId91" display="https://devoteamlearning.udemy.com/course/ai900-azure/" xr:uid="{00000000-0004-0000-0200-00005A000000}"/>
    <hyperlink ref="H34" r:id="rId92" xr:uid="{00000000-0004-0000-0200-00005B000000}"/>
    <hyperlink ref="I34" r:id="rId93" xr:uid="{00000000-0004-0000-0200-00005C000000}"/>
    <hyperlink ref="G35" r:id="rId94" display="https://devoteamlearning.udemy.com/course/ai102-azure/" xr:uid="{00000000-0004-0000-0200-00005D000000}"/>
    <hyperlink ref="H35" r:id="rId95" xr:uid="{00000000-0004-0000-0200-00005E000000}"/>
    <hyperlink ref="I35" r:id="rId96" xr:uid="{00000000-0004-0000-0200-00005F000000}"/>
    <hyperlink ref="G36" r:id="rId97" display="https://devoteamlearning.udemy.com/course/securityplus/" xr:uid="{00000000-0004-0000-0200-000060000000}"/>
    <hyperlink ref="H36" r:id="rId98" xr:uid="{00000000-0004-0000-0200-000061000000}"/>
    <hyperlink ref="I36" r:id="rId99" xr:uid="{00000000-0004-0000-0200-000062000000}"/>
    <hyperlink ref="G37" r:id="rId100" display="https://devoteamlearning.udemy.com/course/ceh-practical-complete-course-exam/" xr:uid="{00000000-0004-0000-0200-000063000000}"/>
    <hyperlink ref="H37" r:id="rId101" xr:uid="{00000000-0004-0000-0200-000064000000}"/>
    <hyperlink ref="I37" r:id="rId102" xr:uid="{00000000-0004-0000-0200-000065000000}"/>
    <hyperlink ref="G38" r:id="rId103" display="https://devoteamlearning.udemy.com/course/pmp-certification-exam-prep-course-pmbok-6th-edition/" xr:uid="{00000000-0004-0000-0200-000066000000}"/>
    <hyperlink ref="H38" r:id="rId104" xr:uid="{00000000-0004-0000-0200-000067000000}"/>
    <hyperlink ref="I38" r:id="rId105" xr:uid="{00000000-0004-0000-0200-000068000000}"/>
    <hyperlink ref="G39" r:id="rId106" display="https://devoteamlearning.udemy.com/course/intro-project-management/" xr:uid="{00000000-0004-0000-0200-000069000000}"/>
    <hyperlink ref="H39" r:id="rId107" xr:uid="{00000000-0004-0000-0200-00006A000000}"/>
    <hyperlink ref="I39" r:id="rId108" xr:uid="{00000000-0004-0000-0200-00006B000000}"/>
    <hyperlink ref="G40" r:id="rId109" display="https://devoteamlearning.udemy.com/course/scrumrealworld/" xr:uid="{00000000-0004-0000-0200-00006C000000}"/>
    <hyperlink ref="H40" r:id="rId110" xr:uid="{00000000-0004-0000-0200-00006D000000}"/>
    <hyperlink ref="I40" r:id="rId111" xr:uid="{00000000-0004-0000-0200-00006E000000}"/>
    <hyperlink ref="G41" r:id="rId112" display="https://devoteamlearning.udemy.com/course/databricks-certified-data-engineer-associate/" xr:uid="{00000000-0004-0000-0200-00006F000000}"/>
    <hyperlink ref="H41" r:id="rId113" xr:uid="{00000000-0004-0000-0200-000070000000}"/>
    <hyperlink ref="I41" r:id="rId114" xr:uid="{00000000-0004-0000-0200-000071000000}"/>
    <hyperlink ref="G42" r:id="rId115" display="https://devoteamlearning.udemy.com/course/apache-kafka/" xr:uid="{00000000-0004-0000-0200-000072000000}"/>
    <hyperlink ref="H42" r:id="rId116" xr:uid="{00000000-0004-0000-0200-000073000000}"/>
    <hyperlink ref="I42" r:id="rId117" xr:uid="{00000000-0004-0000-0200-000074000000}"/>
    <hyperlink ref="G43" r:id="rId118" display="https://devoteamlearning.udemy.com/course/apache-kafka/" xr:uid="{00000000-0004-0000-0200-000075000000}"/>
    <hyperlink ref="H43" r:id="rId119" xr:uid="{00000000-0004-0000-0200-000076000000}"/>
    <hyperlink ref="I43" r:id="rId120" xr:uid="{00000000-0004-0000-0200-000077000000}"/>
    <hyperlink ref="G44" r:id="rId121" display="https://devoteamlearning.udemy.com/course/cloudera-hadoop-training/" xr:uid="{00000000-0004-0000-0200-000078000000}"/>
    <hyperlink ref="H44" r:id="rId122" xr:uid="{00000000-0004-0000-0200-000079000000}"/>
    <hyperlink ref="I44" r:id="rId123" xr:uid="{00000000-0004-0000-0200-00007A000000}"/>
    <hyperlink ref="G45" r:id="rId124" display="https://devoteamlearning.udemy.com/course/cloudera-hadoop-training/" xr:uid="{00000000-0004-0000-0200-00007B000000}"/>
    <hyperlink ref="H45" r:id="rId125" xr:uid="{00000000-0004-0000-0200-00007C000000}"/>
    <hyperlink ref="I45" r:id="rId126" xr:uid="{00000000-0004-0000-0200-00007D000000}"/>
    <hyperlink ref="G46" r:id="rId127" display="https://devoteamlearning.udemy.com/course/cloudera-hadoop-training/" xr:uid="{00000000-0004-0000-0200-00007E000000}"/>
    <hyperlink ref="H46" r:id="rId128" xr:uid="{00000000-0004-0000-0200-00007F000000}"/>
    <hyperlink ref="I46" r:id="rId129" xr:uid="{00000000-0004-0000-0200-000080000000}"/>
    <hyperlink ref="G47" r:id="rId130" display="https://devoteamlearning.udemy.com/course/aws-data-analytics/" xr:uid="{00000000-0004-0000-0200-000081000000}"/>
    <hyperlink ref="H47" r:id="rId131" xr:uid="{00000000-0004-0000-0200-000082000000}"/>
    <hyperlink ref="I47" r:id="rId132" xr:uid="{00000000-0004-0000-0200-000083000000}"/>
    <hyperlink ref="G48" r:id="rId133" display="https://devoteamlearning.udemy.com/course/data-engineering-on-microsoft-azure/" xr:uid="{00000000-0004-0000-0200-000084000000}"/>
    <hyperlink ref="H48" r:id="rId134" xr:uid="{00000000-0004-0000-0200-000085000000}"/>
    <hyperlink ref="I48" r:id="rId135" xr:uid="{00000000-0004-0000-0200-000086000000}"/>
    <hyperlink ref="G49" r:id="rId136" display="https://devoteamlearning.udemy.com/course/istqb-foundation-training/" xr:uid="{00000000-0004-0000-0200-000087000000}"/>
    <hyperlink ref="H49" r:id="rId137" xr:uid="{00000000-0004-0000-0200-000088000000}"/>
    <hyperlink ref="I49" r:id="rId138" xr:uid="{00000000-0004-0000-0200-000089000000}"/>
    <hyperlink ref="G50" r:id="rId139" display="https://devoteamlearning.udemy.com/course/istqb-test-automation-engineer/" xr:uid="{00000000-0004-0000-0200-00008A000000}"/>
    <hyperlink ref="H50" r:id="rId140" xr:uid="{00000000-0004-0000-0200-00008B000000}"/>
    <hyperlink ref="I50" r:id="rId141" xr:uid="{00000000-0004-0000-0200-00008C000000}"/>
    <hyperlink ref="G51" r:id="rId142" display="https://devoteamlearning.udemy.com/course/selenium-real-time-examplesinterview-questions/" xr:uid="{00000000-0004-0000-0200-00008D000000}"/>
    <hyperlink ref="H51" r:id="rId143" xr:uid="{00000000-0004-0000-0200-00008E000000}"/>
    <hyperlink ref="I51" r:id="rId144" xr:uid="{00000000-0004-0000-0200-00008F000000}"/>
    <hyperlink ref="G52" r:id="rId145" display="https://devoteamlearning.udemy.com/course/istqb-agile-tester-certification/" xr:uid="{00000000-0004-0000-0200-000090000000}"/>
    <hyperlink ref="H52" r:id="rId146" xr:uid="{00000000-0004-0000-0200-000091000000}"/>
    <hyperlink ref="I52" r:id="rId147" xr:uid="{00000000-0004-0000-0200-000092000000}"/>
    <hyperlink ref="G53" r:id="rId148" display="https://devoteamlearning.udemy.com/course/cypress-io-master-class/" xr:uid="{00000000-0004-0000-0200-000093000000}"/>
    <hyperlink ref="H53" r:id="rId149" xr:uid="{00000000-0004-0000-0200-000094000000}"/>
    <hyperlink ref="I53" r:id="rId150" xr:uid="{00000000-0004-0000-0200-000095000000}"/>
    <hyperlink ref="G54" r:id="rId151" display="https://devoteamlearning.udemy.com/course/postman-the-complete-guide/" xr:uid="{00000000-0004-0000-0200-000096000000}"/>
    <hyperlink ref="H54" r:id="rId152" xr:uid="{00000000-0004-0000-0200-000097000000}"/>
    <hyperlink ref="I54" r:id="rId153" xr:uid="{00000000-0004-0000-0200-000098000000}"/>
    <hyperlink ref="G55" r:id="rId154" display="https://devoteamlearning.udemy.com/course/learn-jmeter-from-scratch-performance-load-testing-tool/" xr:uid="{00000000-0004-0000-0200-000099000000}"/>
    <hyperlink ref="H55" r:id="rId155" xr:uid="{00000000-0004-0000-0200-00009A000000}"/>
    <hyperlink ref="I55" r:id="rId156" xr:uid="{00000000-0004-0000-0200-00009B000000}"/>
    <hyperlink ref="G56" r:id="rId157" display="https://devoteamlearning.udemy.com/course/istqb-advanced-test-manager/" xr:uid="{00000000-0004-0000-0200-00009C000000}"/>
    <hyperlink ref="H56" r:id="rId158" xr:uid="{00000000-0004-0000-0200-00009D000000}"/>
    <hyperlink ref="I56" r:id="rId159" xr:uid="{00000000-0004-0000-0200-00009E000000}"/>
  </hyperlinks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/>
  <dimension ref="A1:H24"/>
  <sheetViews>
    <sheetView workbookViewId="0">
      <selection activeCell="C16" sqref="C16"/>
    </sheetView>
  </sheetViews>
  <sheetFormatPr baseColWidth="10" defaultColWidth="8.85546875" defaultRowHeight="15" x14ac:dyDescent="0.25"/>
  <cols>
    <col min="1" max="1" width="41.85546875" bestFit="1" customWidth="1"/>
    <col min="2" max="2" width="15" customWidth="1"/>
    <col min="3" max="3" width="12" customWidth="1"/>
    <col min="4" max="4" width="15" customWidth="1"/>
    <col min="5" max="5" width="12" customWidth="1"/>
    <col min="6" max="6" width="10" customWidth="1"/>
    <col min="7" max="8" width="20" customWidth="1"/>
  </cols>
  <sheetData>
    <row r="1" spans="1:8" ht="21" customHeight="1" x14ac:dyDescent="0.25">
      <c r="A1" s="42" t="s">
        <v>232</v>
      </c>
      <c r="B1" s="38"/>
      <c r="C1" s="38"/>
      <c r="D1" s="38"/>
      <c r="E1" s="38"/>
      <c r="F1" s="38"/>
      <c r="G1" s="38"/>
      <c r="H1" s="38"/>
    </row>
    <row r="3" spans="1:8" x14ac:dyDescent="0.25">
      <c r="A3" s="15" t="s">
        <v>39</v>
      </c>
      <c r="B3" s="15" t="s">
        <v>40</v>
      </c>
      <c r="C3" s="15" t="s">
        <v>178</v>
      </c>
      <c r="D3" s="15" t="s">
        <v>176</v>
      </c>
      <c r="E3" s="15" t="s">
        <v>233</v>
      </c>
      <c r="F3" s="15" t="s">
        <v>42</v>
      </c>
      <c r="G3" s="15" t="s">
        <v>173</v>
      </c>
      <c r="H3" s="15" t="s">
        <v>174</v>
      </c>
    </row>
    <row r="4" spans="1:8" x14ac:dyDescent="0.25">
      <c r="A4" s="26" t="str">
        <f>'Catalogue Enrichi'!C4</f>
        <v>Professional Scrum Master I</v>
      </c>
      <c r="B4" s="27" t="str">
        <f>'Catalogue Enrichi'!D4</f>
        <v>PSM-I</v>
      </c>
      <c r="C4" s="30" t="str">
        <f>'Catalogue Enrichi'!N4</f>
        <v>Junior</v>
      </c>
      <c r="D4" s="29" t="str">
        <f>'Catalogue Enrichi'!K4</f>
        <v>OBLIGATOIRE</v>
      </c>
      <c r="E4" s="27" t="str">
        <f>CONCATENATE('Catalogue Enrichi'!G4,"  MAD")</f>
        <v>2000  MAD</v>
      </c>
      <c r="F4" s="27">
        <f>'Catalogue Enrichi'!L4</f>
        <v>40</v>
      </c>
      <c r="G4" s="28" t="str">
        <f>HYPERLINK("https://devoteamlearning.udemy.com/course/complete-agile-scrum-master-training-exam-simulator/","Udemy")</f>
        <v>Udemy</v>
      </c>
      <c r="H4" s="28" t="str">
        <f>HYPERLINK("https://www.scrum.org/assessments/professional-scrum-master-i-certification","Officiel")</f>
        <v>Officiel</v>
      </c>
    </row>
    <row r="5" spans="1:8" x14ac:dyDescent="0.25">
      <c r="A5" s="26" t="str">
        <f>'Catalogue Enrichi'!C5</f>
        <v>Professional Scrum Product Owner I</v>
      </c>
      <c r="B5" s="27" t="str">
        <f>'Catalogue Enrichi'!D5</f>
        <v>PSPO-I</v>
      </c>
      <c r="C5" s="32" t="str">
        <f>'Catalogue Enrichi'!N5</f>
        <v>Senior</v>
      </c>
      <c r="D5" s="31" t="str">
        <f>'Catalogue Enrichi'!K5</f>
        <v>RECOMMANDE</v>
      </c>
      <c r="E5" s="27" t="str">
        <f>CONCATENATE('Catalogue Enrichi'!G5,"  MAD")</f>
        <v>2000  MAD</v>
      </c>
      <c r="F5" s="27">
        <f>'Catalogue Enrichi'!L5</f>
        <v>40</v>
      </c>
      <c r="G5" s="28" t="str">
        <f>HYPERLINK("https://devoteamlearning.udemy.com/course/product-owner-course/","Udemy")</f>
        <v>Udemy</v>
      </c>
      <c r="H5" s="28" t="str">
        <f>HYPERLINK("https://www.scrum.org/assessments/professional-scrum-product-owner-i-certification","Officiel")</f>
        <v>Officiel</v>
      </c>
    </row>
    <row r="6" spans="1:8" x14ac:dyDescent="0.25">
      <c r="A6" s="26" t="str">
        <f>'Catalogue Enrichi'!C6</f>
        <v>SAFe 6 Agilist</v>
      </c>
      <c r="B6" s="27" t="str">
        <f>'Catalogue Enrichi'!D6</f>
        <v>SA</v>
      </c>
      <c r="C6" s="33" t="str">
        <f>'Catalogue Enrichi'!N6</f>
        <v>Lead</v>
      </c>
      <c r="D6" s="31" t="str">
        <f>'Catalogue Enrichi'!K6</f>
        <v>RECOMMANDE</v>
      </c>
      <c r="E6" s="27" t="str">
        <f>CONCATENATE('Catalogue Enrichi'!G6,"  MAD")</f>
        <v>9950  MAD</v>
      </c>
      <c r="F6" s="27">
        <f>'Catalogue Enrichi'!L6</f>
        <v>16</v>
      </c>
      <c r="G6" s="28" t="str">
        <f>HYPERLINK("https://devoteamlearning.udemy.com/course/safe-agilist-6-leading-safe/","Udemy")</f>
        <v>Udemy</v>
      </c>
      <c r="H6" s="28" t="str">
        <f>HYPERLINK("https://scaledagile.com/training/leading-safe/","Officiel")</f>
        <v>Officiel</v>
      </c>
    </row>
    <row r="7" spans="1:8" x14ac:dyDescent="0.25">
      <c r="A7" s="26" t="str">
        <f>'Catalogue Enrichi'!C7</f>
        <v>SAFe Release Train Engineer</v>
      </c>
      <c r="B7" s="27" t="str">
        <f>'Catalogue Enrichi'!D7</f>
        <v>RTE</v>
      </c>
      <c r="C7" s="35" t="str">
        <f>'Catalogue Enrichi'!N7</f>
        <v>Expert</v>
      </c>
      <c r="D7" s="34" t="str">
        <f>'Catalogue Enrichi'!K7</f>
        <v>OPTIONNEL</v>
      </c>
      <c r="E7" s="27" t="str">
        <f>CONCATENATE('Catalogue Enrichi'!G7,"  MAD")</f>
        <v>12950  MAD</v>
      </c>
      <c r="F7" s="27">
        <f>'Catalogue Enrichi'!L7</f>
        <v>24</v>
      </c>
      <c r="G7" s="28" t="str">
        <f>HYPERLINK("https://devoteamlearning.udemy.com/course/master-safe-60-release-train-engineer-safe-rte-essentials/","Udemy")</f>
        <v>Udemy</v>
      </c>
      <c r="H7" s="28" t="str">
        <f>HYPERLINK("https://scaledagile.com/training/safe-release-train-engineer/","Officiel")</f>
        <v>Officiel</v>
      </c>
    </row>
    <row r="8" spans="1:8" x14ac:dyDescent="0.25">
      <c r="A8" s="26" t="str">
        <f>'Catalogue Enrichi'!C8</f>
        <v>Professional Agile Leadership</v>
      </c>
      <c r="B8" s="27" t="str">
        <f>'Catalogue Enrichi'!D8</f>
        <v>PAL-I</v>
      </c>
      <c r="C8" s="36" t="str">
        <f>'Catalogue Enrichi'!N8</f>
        <v>Manager</v>
      </c>
      <c r="D8" s="34" t="str">
        <f>'Catalogue Enrichi'!K8</f>
        <v>OPTIONNEL</v>
      </c>
      <c r="E8" s="27" t="str">
        <f>CONCATENATE('Catalogue Enrichi'!G8,"  MAD")</f>
        <v>2000  MAD</v>
      </c>
      <c r="F8" s="27">
        <f>'Catalogue Enrichi'!L8</f>
        <v>16</v>
      </c>
      <c r="G8" s="28" t="str">
        <f>HYPERLINK("https://devoteamlearning.udemy.com/course/the-ultimate-agile-leader-certification-training/","Udemy")</f>
        <v>Udemy</v>
      </c>
      <c r="H8" s="28" t="str">
        <f>HYPERLINK("https://www.scrum.org/assessments/professional-agile-leadership-certification","Officiel")</f>
        <v>Officiel</v>
      </c>
    </row>
    <row r="9" spans="1:8" x14ac:dyDescent="0.25">
      <c r="A9" s="26" t="str">
        <f>'Catalogue Enrichi'!C9</f>
        <v>ITIL 4 Foundation</v>
      </c>
      <c r="B9" s="27" t="str">
        <f>'Catalogue Enrichi'!D9</f>
        <v>ITIL4-F</v>
      </c>
      <c r="C9" s="32" t="str">
        <f>'Catalogue Enrichi'!N9</f>
        <v>Senior</v>
      </c>
      <c r="D9" s="31" t="str">
        <f>'Catalogue Enrichi'!K9</f>
        <v>RECOMMANDE</v>
      </c>
      <c r="E9" s="27" t="str">
        <f>CONCATENATE('Catalogue Enrichi'!G9,"  MAD")</f>
        <v>3830  MAD</v>
      </c>
      <c r="F9" s="27">
        <f>'Catalogue Enrichi'!L9</f>
        <v>20</v>
      </c>
      <c r="G9" s="28" t="str">
        <f>HYPERLINK("https://devoteamlearning.udemy.com/course/service-management-itil-4/","Udemy")</f>
        <v>Udemy</v>
      </c>
      <c r="H9" s="28" t="str">
        <f>HYPERLINK("https://www.axelos.com/certifications/itil-service-management/itil-4-foundation","Officiel")</f>
        <v>Officiel</v>
      </c>
    </row>
    <row r="10" spans="1:8" x14ac:dyDescent="0.25">
      <c r="A10" s="26" t="str">
        <f>'Catalogue Enrichi'!C12</f>
        <v>Microsoft Azure Fundamentals</v>
      </c>
      <c r="B10" s="27" t="str">
        <f>'Catalogue Enrichi'!D12</f>
        <v>AZ-900</v>
      </c>
      <c r="C10" s="30" t="str">
        <f>'Catalogue Enrichi'!N12</f>
        <v>Junior</v>
      </c>
      <c r="D10" s="29" t="str">
        <f>'Catalogue Enrichi'!K12</f>
        <v>OBLIGATOIRE</v>
      </c>
      <c r="E10" s="27" t="str">
        <f>CONCATENATE('Catalogue Enrichi'!G12,"  MAD")</f>
        <v>990  MAD</v>
      </c>
      <c r="F10" s="27">
        <f>'Catalogue Enrichi'!L12</f>
        <v>20</v>
      </c>
      <c r="G10" s="28" t="str">
        <f>HYPERLINK("https://devoteamlearning.udemy.com/course/az900-azure/","Udemy")</f>
        <v>Udemy</v>
      </c>
      <c r="H10" s="28" t="str">
        <f>HYPERLINK("https://learn.microsoft.com/certifications/azure-fundamentals/","Officiel")</f>
        <v>Officiel</v>
      </c>
    </row>
    <row r="11" spans="1:8" x14ac:dyDescent="0.25">
      <c r="A11" s="26" t="str">
        <f>'Catalogue Enrichi'!C13</f>
        <v>Microsoft Azure Developer Associate</v>
      </c>
      <c r="B11" s="27" t="str">
        <f>'Catalogue Enrichi'!D13</f>
        <v>AZ-204</v>
      </c>
      <c r="C11" s="32" t="str">
        <f>'Catalogue Enrichi'!N13</f>
        <v>Senior</v>
      </c>
      <c r="D11" s="29" t="str">
        <f>'Catalogue Enrichi'!K13</f>
        <v>OBLIGATOIRE</v>
      </c>
      <c r="E11" s="27" t="str">
        <f>CONCATENATE('Catalogue Enrichi'!G13,"  MAD")</f>
        <v>1650  MAD</v>
      </c>
      <c r="F11" s="27">
        <f>'Catalogue Enrichi'!L13</f>
        <v>60</v>
      </c>
      <c r="G11" s="28" t="str">
        <f>HYPERLINK("https://devoteamlearning.udemy.com/course/70532-azure/","Udemy")</f>
        <v>Udemy</v>
      </c>
      <c r="H11" s="28" t="str">
        <f>HYPERLINK("https://learn.microsoft.com/certifications/azure-developer/","Officiel")</f>
        <v>Officiel</v>
      </c>
    </row>
    <row r="12" spans="1:8" x14ac:dyDescent="0.25">
      <c r="A12" s="26" t="str">
        <f>'Catalogue Enrichi'!C14</f>
        <v>Microsoft Azure Administrator Associate</v>
      </c>
      <c r="B12" s="27" t="str">
        <f>'Catalogue Enrichi'!D14</f>
        <v>AZ-104</v>
      </c>
      <c r="C12" s="32" t="str">
        <f>'Catalogue Enrichi'!N14</f>
        <v>Senior</v>
      </c>
      <c r="D12" s="34" t="s">
        <v>191</v>
      </c>
      <c r="E12" s="27" t="str">
        <f>CONCATENATE('Catalogue Enrichi'!G14,"  MAD")</f>
        <v>1650  MAD</v>
      </c>
      <c r="F12" s="27">
        <f>'Catalogue Enrichi'!L14</f>
        <v>50</v>
      </c>
      <c r="G12" s="28" t="str">
        <f>HYPERLINK("https://devoteamlearning.udemy.com/course/70533-azure/","Udemy")</f>
        <v>Udemy</v>
      </c>
      <c r="H12" s="28" t="str">
        <f>HYPERLINK("https://learn.microsoft.com/certifications/azure-administrator/","Officiel")</f>
        <v>Officiel</v>
      </c>
    </row>
    <row r="13" spans="1:8" x14ac:dyDescent="0.25">
      <c r="A13" s="26" t="str">
        <f>'Catalogue Enrichi'!C15</f>
        <v>Microsoft Azure Solutions Architect Expert</v>
      </c>
      <c r="B13" s="27" t="str">
        <f>'Catalogue Enrichi'!D15</f>
        <v>AZ-305</v>
      </c>
      <c r="C13" s="33" t="str">
        <f>'Catalogue Enrichi'!N15</f>
        <v>Lead</v>
      </c>
      <c r="D13" s="31" t="str">
        <f>'Catalogue Enrichi'!K15</f>
        <v>RECOMMANDE</v>
      </c>
      <c r="E13" s="27" t="str">
        <f>CONCATENATE('Catalogue Enrichi'!G15,"  MAD")</f>
        <v>1650  MAD</v>
      </c>
      <c r="F13" s="27">
        <f>'Catalogue Enrichi'!L15</f>
        <v>80</v>
      </c>
      <c r="G13" s="28" t="str">
        <f>HYPERLINK("https://devoteamlearning.udemy.com/course/az301-azure/","Udemy")</f>
        <v>Udemy</v>
      </c>
      <c r="H13" s="28" t="str">
        <f>HYPERLINK("https://learn.microsoft.com/certifications/azure-solutions-architect/","Officiel")</f>
        <v>Officiel</v>
      </c>
    </row>
    <row r="14" spans="1:8" x14ac:dyDescent="0.25">
      <c r="A14" s="26" t="str">
        <f>'Catalogue Enrichi'!C16</f>
        <v>Microsoft DevOps Engineer Expert</v>
      </c>
      <c r="B14" s="27" t="str">
        <f>'Catalogue Enrichi'!D16</f>
        <v>AZ-400</v>
      </c>
      <c r="C14" s="33" t="str">
        <f>'Catalogue Enrichi'!N16</f>
        <v>Lead</v>
      </c>
      <c r="D14" s="31" t="str">
        <f>'Catalogue Enrichi'!K16</f>
        <v>RECOMMANDE</v>
      </c>
      <c r="E14" s="27" t="str">
        <f>CONCATENATE('Catalogue Enrichi'!G16,"  MAD")</f>
        <v>1650  MAD</v>
      </c>
      <c r="F14" s="27">
        <f>'Catalogue Enrichi'!L16</f>
        <v>70</v>
      </c>
      <c r="G14" s="28" t="str">
        <f>HYPERLINK("https://devoteamlearning.udemy.com/course/azure100/","Udemy")</f>
        <v>Udemy</v>
      </c>
      <c r="H14" s="28" t="str">
        <f>HYPERLINK("https://learn.microsoft.com/certifications/devops-engineer/","Officiel")</f>
        <v>Officiel</v>
      </c>
    </row>
    <row r="15" spans="1:8" x14ac:dyDescent="0.25">
      <c r="A15" s="26" t="str">
        <f>'Catalogue Enrichi'!C31</f>
        <v>AWS Developer Associate</v>
      </c>
      <c r="B15" s="27" t="str">
        <f>'Catalogue Enrichi'!D31</f>
        <v>DVA-C02</v>
      </c>
      <c r="C15" s="32" t="str">
        <f>'Catalogue Enrichi'!N31</f>
        <v>Senior</v>
      </c>
      <c r="D15" s="34" t="str">
        <f>'Catalogue Enrichi'!K31</f>
        <v>OPTIONNEL</v>
      </c>
      <c r="E15" s="27" t="str">
        <f>CONCATENATE('Catalogue Enrichi'!G31,"  MAD")</f>
        <v>1500  MAD</v>
      </c>
      <c r="F15" s="27">
        <f>'Catalogue Enrichi'!L31</f>
        <v>50</v>
      </c>
      <c r="G15" s="28" t="str">
        <f>HYPERLINK("https://devoteamlearning.udemy.com/course/aws-certified-developer-associate-dva-c01/","Udemy")</f>
        <v>Udemy</v>
      </c>
      <c r="H15" s="28" t="str">
        <f>HYPERLINK("https://aws.amazon.com/certification/certified-developer-associate/","Officiel")</f>
        <v>Officiel</v>
      </c>
    </row>
    <row r="16" spans="1:8" x14ac:dyDescent="0.25">
      <c r="A16" s="26" t="str">
        <f>'Catalogue Enrichi'!C33</f>
        <v>TOGAF 10 Enterprise Architecture Foundation</v>
      </c>
      <c r="B16" s="27" t="str">
        <f>'Catalogue Enrichi'!D33</f>
        <v>TOGAF-10</v>
      </c>
      <c r="C16" s="35" t="str">
        <f>'Catalogue Enrichi'!N33</f>
        <v>Expert</v>
      </c>
      <c r="D16" s="34" t="str">
        <f>'Catalogue Enrichi'!K33</f>
        <v>OPTIONNEL</v>
      </c>
      <c r="E16" s="27" t="str">
        <f>CONCATENATE('Catalogue Enrichi'!G33,"  MAD")</f>
        <v>5950  MAD</v>
      </c>
      <c r="F16" s="27">
        <f>'Catalogue Enrichi'!L33</f>
        <v>80</v>
      </c>
      <c r="G16" s="28" t="str">
        <f>HYPERLINK("http://devoteamlearning.udemy.com/course/togaf-10-ea-foundation/","Udemy")</f>
        <v>Udemy</v>
      </c>
      <c r="H16" s="28" t="str">
        <f>HYPERLINK("https://www.opengroup.org/certifications/togaf","Officiel")</f>
        <v>Officiel</v>
      </c>
    </row>
    <row r="17" spans="1:8" x14ac:dyDescent="0.25">
      <c r="A17" s="26" t="str">
        <f>'Catalogue Enrichi'!C34</f>
        <v>Microsoft Azure AI Fundamentals</v>
      </c>
      <c r="B17" s="27" t="str">
        <f>'Catalogue Enrichi'!D34</f>
        <v>AI-900</v>
      </c>
      <c r="C17" s="30" t="str">
        <f>'Catalogue Enrichi'!N34</f>
        <v>Junior</v>
      </c>
      <c r="D17" s="31" t="str">
        <f>'Catalogue Enrichi'!K34</f>
        <v>RECOMMANDE</v>
      </c>
      <c r="E17" s="27" t="str">
        <f>CONCATENATE('Catalogue Enrichi'!G34,"  MAD")</f>
        <v>990  MAD</v>
      </c>
      <c r="F17" s="27">
        <f>'Catalogue Enrichi'!L34</f>
        <v>20</v>
      </c>
      <c r="G17" s="28" t="str">
        <f>HYPERLINK("https://devoteamlearning.udemy.com/course/ai900-azure/","Udemy")</f>
        <v>Udemy</v>
      </c>
      <c r="H17" s="28" t="str">
        <f>HYPERLINK("https://learn.microsoft.com/certifications/azure-ai-fundamentals/","Officiel")</f>
        <v>Officiel</v>
      </c>
    </row>
    <row r="18" spans="1:8" x14ac:dyDescent="0.25">
      <c r="A18" s="26" t="str">
        <f>'Catalogue Enrichi'!C35</f>
        <v>Microsoft Azure AI Engineer Associate</v>
      </c>
      <c r="B18" s="27" t="str">
        <f>'Catalogue Enrichi'!D35</f>
        <v>AI-102</v>
      </c>
      <c r="C18" s="32" t="str">
        <f>'Catalogue Enrichi'!N35</f>
        <v>Senior</v>
      </c>
      <c r="D18" s="31" t="str">
        <f>'Catalogue Enrichi'!K35</f>
        <v>RECOMMANDE</v>
      </c>
      <c r="E18" s="27" t="str">
        <f>CONCATENATE('Catalogue Enrichi'!G35,"  MAD")</f>
        <v>1650  MAD</v>
      </c>
      <c r="F18" s="27">
        <f>'Catalogue Enrichi'!L35</f>
        <v>60</v>
      </c>
      <c r="G18" s="28" t="str">
        <f>HYPERLINK("https://devoteamlearning.udemy.com/course/ai102-azure/","Udemy")</f>
        <v>Udemy</v>
      </c>
      <c r="H18" s="28" t="str">
        <f>HYPERLINK("https://learn.microsoft.com/certifications/azure-ai-engineer/","Officiel")</f>
        <v>Officiel</v>
      </c>
    </row>
    <row r="19" spans="1:8" x14ac:dyDescent="0.25">
      <c r="A19" s="26" t="str">
        <f>'Catalogue Enrichi'!C36</f>
        <v>CompTIA Security+</v>
      </c>
      <c r="B19" s="27" t="str">
        <f>'Catalogue Enrichi'!D36</f>
        <v>SY0-701</v>
      </c>
      <c r="C19" s="30" t="str">
        <f>'Catalogue Enrichi'!N36</f>
        <v>Junior</v>
      </c>
      <c r="D19" s="34" t="str">
        <f>'Catalogue Enrichi'!K36</f>
        <v>OPTIONNEL</v>
      </c>
      <c r="E19" s="27" t="str">
        <f>CONCATENATE('Catalogue Enrichi'!G36,"  MAD")</f>
        <v>4250  MAD</v>
      </c>
      <c r="F19" s="27">
        <f>'Catalogue Enrichi'!L36</f>
        <v>50</v>
      </c>
      <c r="G19" s="28" t="str">
        <f>HYPERLINK("https://devoteamlearning.udemy.com/course/securityplus/","Udemy")</f>
        <v>Udemy</v>
      </c>
      <c r="H19" s="28" t="str">
        <f>HYPERLINK("https://www.comptia.org/certifications/security","Officiel")</f>
        <v>Officiel</v>
      </c>
    </row>
    <row r="20" spans="1:8" x14ac:dyDescent="0.25">
      <c r="A20" s="26" t="str">
        <f>'Catalogue Enrichi'!C37</f>
        <v>Certified Ethical Hacker</v>
      </c>
      <c r="B20" s="27" t="str">
        <f>'Catalogue Enrichi'!D37</f>
        <v>CEH</v>
      </c>
      <c r="C20" s="33" t="str">
        <f>'Catalogue Enrichi'!N37</f>
        <v>Lead</v>
      </c>
      <c r="D20" s="34" t="str">
        <f>'Catalogue Enrichi'!K37</f>
        <v>OPTIONNEL</v>
      </c>
      <c r="E20" s="27" t="str">
        <f>CONCATENATE('Catalogue Enrichi'!G37,"  MAD")</f>
        <v>9500  MAD</v>
      </c>
      <c r="F20" s="27">
        <f>'Catalogue Enrichi'!L37</f>
        <v>100</v>
      </c>
      <c r="G20" s="28" t="str">
        <f>HYPERLINK("https://devoteamlearning.udemy.com/course/ceh-practical-complete-course-exam/","Udemy")</f>
        <v>Udemy</v>
      </c>
      <c r="H20" s="28" t="str">
        <f>HYPERLINK("https://www.eccouncil.org/programs/certified-ethical-hacker-ceh/","Officiel")</f>
        <v>Officiel</v>
      </c>
    </row>
    <row r="21" spans="1:8" x14ac:dyDescent="0.25">
      <c r="A21" s="26" t="str">
        <f>'Catalogue Enrichi'!C38</f>
        <v>Project Management Professional</v>
      </c>
      <c r="B21" s="27" t="str">
        <f>'Catalogue Enrichi'!D38</f>
        <v>PMP</v>
      </c>
      <c r="C21" s="36" t="str">
        <f>'Catalogue Enrichi'!N38</f>
        <v>Manager</v>
      </c>
      <c r="D21" s="34" t="str">
        <f>'Catalogue Enrichi'!K38</f>
        <v>OPTIONNEL</v>
      </c>
      <c r="E21" s="27" t="str">
        <f>CONCATENATE('Catalogue Enrichi'!G38,"  MAD")</f>
        <v>5550  MAD</v>
      </c>
      <c r="F21" s="27">
        <f>'Catalogue Enrichi'!L38</f>
        <v>100</v>
      </c>
      <c r="G21" s="28" t="str">
        <f>HYPERLINK("https://devoteamlearning.udemy.com/course/pmp-certification-exam-prep-course-pmbok-6th-edition/","Udemy")</f>
        <v>Udemy</v>
      </c>
      <c r="H21" s="28" t="str">
        <f>HYPERLINK("https://www.pmi.org/certifications/project-management-pmp","Officiel")</f>
        <v>Officiel</v>
      </c>
    </row>
    <row r="22" spans="1:8" x14ac:dyDescent="0.25">
      <c r="A22" s="26" t="str">
        <f>'Catalogue Enrichi'!C39</f>
        <v>Prince2 Practitioner</v>
      </c>
      <c r="B22" s="27" t="str">
        <f>'Catalogue Enrichi'!D39</f>
        <v>PRINCE2-P</v>
      </c>
      <c r="C22" s="36" t="str">
        <f>'Catalogue Enrichi'!N39</f>
        <v>Manager</v>
      </c>
      <c r="D22" s="34" t="str">
        <f>'Catalogue Enrichi'!K39</f>
        <v>OPTIONNEL</v>
      </c>
      <c r="E22" s="27" t="str">
        <f>CONCATENATE('Catalogue Enrichi'!G39,"  MAD")</f>
        <v>4000  MAD</v>
      </c>
      <c r="F22" s="27">
        <f>'Catalogue Enrichi'!L39</f>
        <v>40</v>
      </c>
      <c r="G22" s="28" t="str">
        <f>HYPERLINK("https://devoteamlearning.udemy.com/course/intro-project-management/","Udemy")</f>
        <v>Udemy</v>
      </c>
      <c r="H22" s="28" t="str">
        <f>HYPERLINK("https://www.axelos.com/certifications/propath/prince2-project-management/prince2-practitioner","Officiel")</f>
        <v>Officiel</v>
      </c>
    </row>
    <row r="23" spans="1:8" x14ac:dyDescent="0.25">
      <c r="A23" s="26" t="str">
        <f>'Catalogue Enrichi'!C40</f>
        <v>Certified ScrumMaster</v>
      </c>
      <c r="B23" s="27" t="str">
        <f>'Catalogue Enrichi'!D40</f>
        <v>CSM</v>
      </c>
      <c r="C23" s="36" t="str">
        <f>'Catalogue Enrichi'!N40</f>
        <v>Manager</v>
      </c>
      <c r="D23" s="31" t="str">
        <f>'Catalogue Enrichi'!K40</f>
        <v>RECOMMANDE</v>
      </c>
      <c r="E23" s="27" t="str">
        <f>CONCATENATE('Catalogue Enrichi'!G40,"  MAD")</f>
        <v>9950  MAD</v>
      </c>
      <c r="F23" s="27">
        <f>'Catalogue Enrichi'!L40</f>
        <v>16</v>
      </c>
      <c r="G23" s="28" t="str">
        <f>HYPERLINK("https://devoteamlearning.udemy.com/course/scrumrealworld/","Udemy")</f>
        <v>Udemy</v>
      </c>
      <c r="H23" s="28" t="str">
        <f>HYPERLINK("https://www.scrumalliance.org/get-certified/scrum-master-track/certified-scrummaster","Officiel")</f>
        <v>Officiel</v>
      </c>
    </row>
    <row r="24" spans="1:8" x14ac:dyDescent="0.25">
      <c r="A24" s="26" t="str">
        <f>'Catalogue Enrichi'!C48</f>
        <v>Azure Data Engineer Associate</v>
      </c>
      <c r="B24" s="27" t="str">
        <f>'Catalogue Enrichi'!D48</f>
        <v>DP-203</v>
      </c>
      <c r="C24" s="32" t="str">
        <f>'Catalogue Enrichi'!N48</f>
        <v>Senior</v>
      </c>
      <c r="D24" s="34" t="str">
        <f>'Catalogue Enrichi'!K48</f>
        <v>OPTIONNEL</v>
      </c>
      <c r="E24" s="27" t="str">
        <f>CONCATENATE('Catalogue Enrichi'!G48,"  MAD")</f>
        <v>1650  MAD</v>
      </c>
      <c r="F24" s="27">
        <f>'Catalogue Enrichi'!L48</f>
        <v>70</v>
      </c>
      <c r="G24" s="28" t="str">
        <f>HYPERLINK("https://devoteamlearning.udemy.com/course/data-engineering-on-microsoft-azure/","Udemy")</f>
        <v>Udemy</v>
      </c>
      <c r="H24" s="28" t="str">
        <f>HYPERLINK("https://learn.microsoft.com/certifications/azure-data-engineer/","Officiel")</f>
        <v>Officiel</v>
      </c>
    </row>
  </sheetData>
  <mergeCells count="1">
    <mergeCell ref="A1:H1"/>
  </mergeCells>
  <pageMargins left="0.75" right="0.75" top="1" bottom="1" header="0.5" footer="0.5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H20"/>
  <sheetViews>
    <sheetView workbookViewId="0">
      <selection sqref="A1:H1"/>
    </sheetView>
  </sheetViews>
  <sheetFormatPr baseColWidth="10" defaultColWidth="8.85546875" defaultRowHeight="15" x14ac:dyDescent="0.25"/>
  <cols>
    <col min="1" max="1" width="50" customWidth="1"/>
    <col min="2" max="2" width="15" customWidth="1"/>
    <col min="3" max="3" width="12" customWidth="1"/>
    <col min="4" max="4" width="15" customWidth="1"/>
    <col min="5" max="5" width="12" customWidth="1"/>
    <col min="6" max="6" width="10" customWidth="1"/>
    <col min="7" max="8" width="20" customWidth="1"/>
  </cols>
  <sheetData>
    <row r="1" spans="1:8" ht="21" customHeight="1" x14ac:dyDescent="0.25">
      <c r="A1" s="42" t="s">
        <v>234</v>
      </c>
      <c r="B1" s="38"/>
      <c r="C1" s="38"/>
      <c r="D1" s="38"/>
      <c r="E1" s="38"/>
      <c r="F1" s="38"/>
      <c r="G1" s="38"/>
      <c r="H1" s="38"/>
    </row>
    <row r="3" spans="1:8" x14ac:dyDescent="0.25">
      <c r="A3" s="15" t="s">
        <v>39</v>
      </c>
      <c r="B3" s="15" t="s">
        <v>40</v>
      </c>
      <c r="C3" s="15" t="s">
        <v>178</v>
      </c>
      <c r="D3" s="15" t="s">
        <v>176</v>
      </c>
      <c r="E3" s="15" t="s">
        <v>233</v>
      </c>
      <c r="F3" s="15" t="s">
        <v>42</v>
      </c>
      <c r="G3" s="15" t="s">
        <v>173</v>
      </c>
      <c r="H3" s="15" t="s">
        <v>174</v>
      </c>
    </row>
    <row r="4" spans="1:8" x14ac:dyDescent="0.25">
      <c r="A4" s="26" t="str">
        <f>'Catalogue Enrichi'!C4</f>
        <v>Professional Scrum Master I</v>
      </c>
      <c r="B4" s="27" t="str">
        <f>'Catalogue Enrichi'!D4</f>
        <v>PSM-I</v>
      </c>
      <c r="C4" s="30" t="str">
        <f>'Catalogue Enrichi'!N4</f>
        <v>Junior</v>
      </c>
      <c r="D4" s="29" t="str">
        <f>'Catalogue Enrichi'!K4</f>
        <v>OBLIGATOIRE</v>
      </c>
      <c r="E4" s="27" t="str">
        <f>CONCATENATE('Catalogue Enrichi'!G4,"  MAD")</f>
        <v>2000  MAD</v>
      </c>
      <c r="F4" s="27">
        <f>'Catalogue Enrichi'!L4</f>
        <v>40</v>
      </c>
      <c r="G4" s="28" t="str">
        <f>HYPERLINK("https://devoteamlearning.udemy.com/course/complete-agile-scrum-master-training-exam-simulator/","Udemy")</f>
        <v>Udemy</v>
      </c>
      <c r="H4" s="28" t="str">
        <f>HYPERLINK("https://www.scrum.org/assessments/professional-scrum-master-i-certification","Officiel")</f>
        <v>Officiel</v>
      </c>
    </row>
    <row r="5" spans="1:8" x14ac:dyDescent="0.25">
      <c r="A5" s="26" t="str">
        <f>'Catalogue Enrichi'!C5</f>
        <v>Professional Scrum Product Owner I</v>
      </c>
      <c r="B5" s="27" t="str">
        <f>'Catalogue Enrichi'!D5</f>
        <v>PSPO-I</v>
      </c>
      <c r="C5" s="32" t="str">
        <f>'Catalogue Enrichi'!N5</f>
        <v>Senior</v>
      </c>
      <c r="D5" s="31" t="str">
        <f>'Catalogue Enrichi'!K5</f>
        <v>RECOMMANDE</v>
      </c>
      <c r="E5" s="27" t="str">
        <f>CONCATENATE('Catalogue Enrichi'!G5,"  MAD")</f>
        <v>2000  MAD</v>
      </c>
      <c r="F5" s="27">
        <f>'Catalogue Enrichi'!L5</f>
        <v>40</v>
      </c>
      <c r="G5" s="28" t="str">
        <f>HYPERLINK("https://devoteamlearning.udemy.com/course/product-owner-course/","Udemy")</f>
        <v>Udemy</v>
      </c>
      <c r="H5" s="28" t="str">
        <f>HYPERLINK("https://www.scrum.org/assessments/professional-scrum-product-owner-i-certification","Officiel")</f>
        <v>Officiel</v>
      </c>
    </row>
    <row r="6" spans="1:8" x14ac:dyDescent="0.25">
      <c r="A6" s="26" t="str">
        <f>'Catalogue Enrichi'!C6</f>
        <v>SAFe 6 Agilist</v>
      </c>
      <c r="B6" s="27" t="str">
        <f>'Catalogue Enrichi'!D6</f>
        <v>SA</v>
      </c>
      <c r="C6" s="33" t="str">
        <f>'Catalogue Enrichi'!N6</f>
        <v>Lead</v>
      </c>
      <c r="D6" s="31" t="str">
        <f>'Catalogue Enrichi'!K6</f>
        <v>RECOMMANDE</v>
      </c>
      <c r="E6" s="27" t="str">
        <f>CONCATENATE('Catalogue Enrichi'!G6,"  MAD")</f>
        <v>9950  MAD</v>
      </c>
      <c r="F6" s="27">
        <f>'Catalogue Enrichi'!L6</f>
        <v>16</v>
      </c>
      <c r="G6" s="28" t="str">
        <f>HYPERLINK("https://devoteamlearning.udemy.com/course/safe-agilist-6-leading-safe/","Udemy")</f>
        <v>Udemy</v>
      </c>
      <c r="H6" s="28" t="str">
        <f>HYPERLINK("https://scaledagile.com/training/leading-safe/","Officiel")</f>
        <v>Officiel</v>
      </c>
    </row>
    <row r="7" spans="1:8" x14ac:dyDescent="0.25">
      <c r="A7" s="26" t="str">
        <f>'Catalogue Enrichi'!C7</f>
        <v>SAFe Release Train Engineer</v>
      </c>
      <c r="B7" s="27" t="str">
        <f>'Catalogue Enrichi'!D7</f>
        <v>RTE</v>
      </c>
      <c r="C7" s="35" t="str">
        <f>'Catalogue Enrichi'!N7</f>
        <v>Expert</v>
      </c>
      <c r="D7" s="34" t="str">
        <f>'Catalogue Enrichi'!K7</f>
        <v>OPTIONNEL</v>
      </c>
      <c r="E7" s="27" t="str">
        <f>CONCATENATE('Catalogue Enrichi'!G7,"  MAD")</f>
        <v>12950  MAD</v>
      </c>
      <c r="F7" s="27">
        <f>'Catalogue Enrichi'!L7</f>
        <v>24</v>
      </c>
      <c r="G7" s="28" t="str">
        <f>HYPERLINK("https://devoteamlearning.udemy.com/course/master-safe-60-release-train-engineer-safe-rte-essentials/","Udemy")</f>
        <v>Udemy</v>
      </c>
      <c r="H7" s="28" t="str">
        <f>HYPERLINK("https://scaledagile.com/training/safe-release-train-engineer/","Officiel")</f>
        <v>Officiel</v>
      </c>
    </row>
    <row r="8" spans="1:8" x14ac:dyDescent="0.25">
      <c r="A8" s="26" t="str">
        <f>'Catalogue Enrichi'!C8</f>
        <v>Professional Agile Leadership</v>
      </c>
      <c r="B8" s="27" t="str">
        <f>'Catalogue Enrichi'!D8</f>
        <v>PAL-I</v>
      </c>
      <c r="C8" s="36" t="str">
        <f>'Catalogue Enrichi'!N8</f>
        <v>Manager</v>
      </c>
      <c r="D8" s="34" t="str">
        <f>'Catalogue Enrichi'!K8</f>
        <v>OPTIONNEL</v>
      </c>
      <c r="E8" s="27" t="str">
        <f>CONCATENATE('Catalogue Enrichi'!G8,"  MAD")</f>
        <v>2000  MAD</v>
      </c>
      <c r="F8" s="27">
        <f>'Catalogue Enrichi'!L8</f>
        <v>16</v>
      </c>
      <c r="G8" s="28" t="str">
        <f>HYPERLINK("https://devoteamlearning.udemy.com/course/the-ultimate-agile-leader-certification-training/","Udemy")</f>
        <v>Udemy</v>
      </c>
      <c r="H8" s="28" t="str">
        <f>HYPERLINK("https://www.scrum.org/assessments/professional-agile-leadership-certification","Officiel")</f>
        <v>Officiel</v>
      </c>
    </row>
    <row r="9" spans="1:8" x14ac:dyDescent="0.25">
      <c r="A9" s="26" t="str">
        <f>'Catalogue Enrichi'!C9</f>
        <v>ITIL 4 Foundation</v>
      </c>
      <c r="B9" s="27" t="str">
        <f>'Catalogue Enrichi'!D9</f>
        <v>ITIL4-F</v>
      </c>
      <c r="C9" s="32" t="str">
        <f>'Catalogue Enrichi'!N9</f>
        <v>Senior</v>
      </c>
      <c r="D9" s="31" t="str">
        <f>'Catalogue Enrichi'!K9</f>
        <v>RECOMMANDE</v>
      </c>
      <c r="E9" s="27" t="str">
        <f>CONCATENATE('Catalogue Enrichi'!G9,"  MAD")</f>
        <v>3830  MAD</v>
      </c>
      <c r="F9" s="27">
        <f>'Catalogue Enrichi'!L9</f>
        <v>20</v>
      </c>
      <c r="G9" s="28" t="str">
        <f>HYPERLINK("https://devoteamlearning.udemy.com/course/service-management-itil-4/","Udemy")</f>
        <v>Udemy</v>
      </c>
      <c r="H9" s="28" t="str">
        <f>HYPERLINK("https://www.axelos.com/certifications/itil-service-management/itil-4-foundation","Officiel")</f>
        <v>Officiel</v>
      </c>
    </row>
    <row r="10" spans="1:8" x14ac:dyDescent="0.25">
      <c r="A10" s="26" t="str">
        <f>'Catalogue Enrichi'!C10</f>
        <v>Oracle Certified Professional: Java SE 21 Developer</v>
      </c>
      <c r="B10" s="27" t="str">
        <f>'Catalogue Enrichi'!D10</f>
        <v>OCP-21</v>
      </c>
      <c r="C10" s="30" t="str">
        <f>'Catalogue Enrichi'!N10</f>
        <v>Junior</v>
      </c>
      <c r="D10" s="29" t="str">
        <f>'Catalogue Enrichi'!K10</f>
        <v>OBLIGATOIRE</v>
      </c>
      <c r="E10" s="27" t="str">
        <f>CONCATENATE('Catalogue Enrichi'!G10,"  MAD")</f>
        <v>2450  MAD</v>
      </c>
      <c r="F10" s="27">
        <f>'Catalogue Enrichi'!L10</f>
        <v>80</v>
      </c>
      <c r="G10" s="28" t="str">
        <f>HYPERLINK("https://devoteamlearning.udemy.com/course/ocp11_from_oca8/","Udemy")</f>
        <v>Udemy</v>
      </c>
      <c r="H10" s="28" t="str">
        <f>HYPERLINK("https://education.oracle.com/oracle-certified-professional-java-se-17-developer/trackp_OCPJSE17","Officiel")</f>
        <v>Officiel</v>
      </c>
    </row>
    <row r="11" spans="1:8" x14ac:dyDescent="0.25">
      <c r="A11" s="26" t="str">
        <f>'Catalogue Enrichi'!C11</f>
        <v>Spring Professional Certification</v>
      </c>
      <c r="B11" s="27" t="str">
        <f>'Catalogue Enrichi'!D11</f>
        <v>SPRING-PRO</v>
      </c>
      <c r="C11" s="32" t="str">
        <f>'Catalogue Enrichi'!N11</f>
        <v>Senior</v>
      </c>
      <c r="D11" s="29" t="str">
        <f>'Catalogue Enrichi'!K11</f>
        <v>OBLIGATOIRE</v>
      </c>
      <c r="E11" s="27" t="str">
        <f>CONCATENATE('Catalogue Enrichi'!G11,"  MAD")</f>
        <v>2500  MAD</v>
      </c>
      <c r="F11" s="27">
        <f>'Catalogue Enrichi'!L11</f>
        <v>100</v>
      </c>
      <c r="G11" s="28" t="str">
        <f>HYPERLINK("https://devoteamlearning.udemy.com/open-badges/1435269161","Udemy")</f>
        <v>Udemy</v>
      </c>
      <c r="H11" s="28" t="str">
        <f>HYPERLINK("https://spring.io/certifications","Officiel")</f>
        <v>Officiel</v>
      </c>
    </row>
    <row r="12" spans="1:8" x14ac:dyDescent="0.25">
      <c r="A12" s="26" t="str">
        <f>'Catalogue Enrichi'!C31</f>
        <v>AWS Developer Associate</v>
      </c>
      <c r="B12" s="27" t="str">
        <f>'Catalogue Enrichi'!D31</f>
        <v>DVA-C02</v>
      </c>
      <c r="C12" s="32" t="str">
        <f>'Catalogue Enrichi'!N31</f>
        <v>Senior</v>
      </c>
      <c r="D12" s="34" t="str">
        <f>'Catalogue Enrichi'!K31</f>
        <v>OPTIONNEL</v>
      </c>
      <c r="E12" s="27" t="str">
        <f>CONCATENATE('Catalogue Enrichi'!G31,"  MAD")</f>
        <v>1500  MAD</v>
      </c>
      <c r="F12" s="27">
        <f>'Catalogue Enrichi'!L31</f>
        <v>50</v>
      </c>
      <c r="G12" s="28" t="str">
        <f>HYPERLINK("https://devoteamlearning.udemy.com/course/aws-certified-developer-associate-dva-c01/","Udemy")</f>
        <v>Udemy</v>
      </c>
      <c r="H12" s="28" t="str">
        <f>HYPERLINK("https://aws.amazon.com/certification/certified-developer-associate/","Officiel")</f>
        <v>Officiel</v>
      </c>
    </row>
    <row r="13" spans="1:8" x14ac:dyDescent="0.25">
      <c r="A13" s="26" t="str">
        <f>'Catalogue Enrichi'!C33</f>
        <v>TOGAF 10 Enterprise Architecture Foundation</v>
      </c>
      <c r="B13" s="27" t="str">
        <f>'Catalogue Enrichi'!D33</f>
        <v>TOGAF-10</v>
      </c>
      <c r="C13" s="35" t="str">
        <f>'Catalogue Enrichi'!N33</f>
        <v>Expert</v>
      </c>
      <c r="D13" s="34" t="str">
        <f>'Catalogue Enrichi'!K33</f>
        <v>OPTIONNEL</v>
      </c>
      <c r="E13" s="27" t="str">
        <f>CONCATENATE('Catalogue Enrichi'!G33,"  MAD")</f>
        <v>5950  MAD</v>
      </c>
      <c r="F13" s="27">
        <f>'Catalogue Enrichi'!L33</f>
        <v>80</v>
      </c>
      <c r="G13" s="28" t="str">
        <f>HYPERLINK("http://devoteamlearning.udemy.com/course/togaf-10-ea-foundation/","Udemy")</f>
        <v>Udemy</v>
      </c>
      <c r="H13" s="28" t="str">
        <f>HYPERLINK("https://www.opengroup.org/certifications/togaf","Officiel")</f>
        <v>Officiel</v>
      </c>
    </row>
    <row r="14" spans="1:8" x14ac:dyDescent="0.25">
      <c r="A14" s="26" t="str">
        <f>'Catalogue Enrichi'!C34</f>
        <v>Microsoft Azure AI Fundamentals</v>
      </c>
      <c r="B14" s="27" t="str">
        <f>'Catalogue Enrichi'!D34</f>
        <v>AI-900</v>
      </c>
      <c r="C14" s="30" t="str">
        <f>'Catalogue Enrichi'!N34</f>
        <v>Junior</v>
      </c>
      <c r="D14" s="31" t="str">
        <f>'Catalogue Enrichi'!K34</f>
        <v>RECOMMANDE</v>
      </c>
      <c r="E14" s="27" t="str">
        <f>CONCATENATE('Catalogue Enrichi'!G34,"  MAD")</f>
        <v>990  MAD</v>
      </c>
      <c r="F14" s="27">
        <f>'Catalogue Enrichi'!L34</f>
        <v>20</v>
      </c>
      <c r="G14" s="28" t="str">
        <f>HYPERLINK("https://devoteamlearning.udemy.com/course/ai900-azure/","Udemy")</f>
        <v>Udemy</v>
      </c>
      <c r="H14" s="28" t="str">
        <f>HYPERLINK("https://learn.microsoft.com/certifications/azure-ai-fundamentals/","Officiel")</f>
        <v>Officiel</v>
      </c>
    </row>
    <row r="15" spans="1:8" x14ac:dyDescent="0.25">
      <c r="A15" s="26" t="str">
        <f>'Catalogue Enrichi'!C35</f>
        <v>Microsoft Azure AI Engineer Associate</v>
      </c>
      <c r="B15" s="27" t="str">
        <f>'Catalogue Enrichi'!D35</f>
        <v>AI-102</v>
      </c>
      <c r="C15" s="32" t="str">
        <f>'Catalogue Enrichi'!N35</f>
        <v>Senior</v>
      </c>
      <c r="D15" s="31" t="str">
        <f>'Catalogue Enrichi'!K35</f>
        <v>RECOMMANDE</v>
      </c>
      <c r="E15" s="27" t="str">
        <f>CONCATENATE('Catalogue Enrichi'!G35,"  MAD")</f>
        <v>1650  MAD</v>
      </c>
      <c r="F15" s="27">
        <f>'Catalogue Enrichi'!L35</f>
        <v>60</v>
      </c>
      <c r="G15" s="28" t="str">
        <f>HYPERLINK("https://devoteamlearning.udemy.com/course/ai102-azure/","Udemy")</f>
        <v>Udemy</v>
      </c>
      <c r="H15" s="28" t="str">
        <f>HYPERLINK("https://learn.microsoft.com/certifications/azure-ai-engineer/","Officiel")</f>
        <v>Officiel</v>
      </c>
    </row>
    <row r="16" spans="1:8" x14ac:dyDescent="0.25">
      <c r="A16" s="26" t="str">
        <f>'Catalogue Enrichi'!C36</f>
        <v>CompTIA Security+</v>
      </c>
      <c r="B16" s="27" t="str">
        <f>'Catalogue Enrichi'!D36</f>
        <v>SY0-701</v>
      </c>
      <c r="C16" s="30" t="str">
        <f>'Catalogue Enrichi'!N36</f>
        <v>Junior</v>
      </c>
      <c r="D16" s="34" t="str">
        <f>'Catalogue Enrichi'!K36</f>
        <v>OPTIONNEL</v>
      </c>
      <c r="E16" s="27" t="str">
        <f>CONCATENATE('Catalogue Enrichi'!G36,"  MAD")</f>
        <v>4250  MAD</v>
      </c>
      <c r="F16" s="27">
        <f>'Catalogue Enrichi'!L36</f>
        <v>50</v>
      </c>
      <c r="G16" s="28" t="str">
        <f>HYPERLINK("https://devoteamlearning.udemy.com/course/securityplus/","Udemy")</f>
        <v>Udemy</v>
      </c>
      <c r="H16" s="28" t="str">
        <f>HYPERLINK("https://www.comptia.org/certifications/security","Officiel")</f>
        <v>Officiel</v>
      </c>
    </row>
    <row r="17" spans="1:8" x14ac:dyDescent="0.25">
      <c r="A17" s="26" t="str">
        <f>'Catalogue Enrichi'!C37</f>
        <v>Certified Ethical Hacker</v>
      </c>
      <c r="B17" s="27" t="str">
        <f>'Catalogue Enrichi'!D37</f>
        <v>CEH</v>
      </c>
      <c r="C17" s="33" t="str">
        <f>'Catalogue Enrichi'!N37</f>
        <v>Lead</v>
      </c>
      <c r="D17" s="34" t="str">
        <f>'Catalogue Enrichi'!K37</f>
        <v>OPTIONNEL</v>
      </c>
      <c r="E17" s="27" t="str">
        <f>CONCATENATE('Catalogue Enrichi'!G37,"  MAD")</f>
        <v>9500  MAD</v>
      </c>
      <c r="F17" s="27">
        <f>'Catalogue Enrichi'!L37</f>
        <v>100</v>
      </c>
      <c r="G17" s="28" t="str">
        <f>HYPERLINK("https://devoteamlearning.udemy.com/course/ceh-practical-complete-course-exam/","Udemy")</f>
        <v>Udemy</v>
      </c>
      <c r="H17" s="28" t="str">
        <f>HYPERLINK("https://www.eccouncil.org/programs/certified-ethical-hacker-ceh/","Officiel")</f>
        <v>Officiel</v>
      </c>
    </row>
    <row r="18" spans="1:8" x14ac:dyDescent="0.25">
      <c r="A18" s="26" t="str">
        <f>'Catalogue Enrichi'!C38</f>
        <v>Project Management Professional</v>
      </c>
      <c r="B18" s="27" t="str">
        <f>'Catalogue Enrichi'!D38</f>
        <v>PMP</v>
      </c>
      <c r="C18" s="36" t="str">
        <f>'Catalogue Enrichi'!N38</f>
        <v>Manager</v>
      </c>
      <c r="D18" s="34" t="str">
        <f>'Catalogue Enrichi'!K38</f>
        <v>OPTIONNEL</v>
      </c>
      <c r="E18" s="27" t="str">
        <f>CONCATENATE('Catalogue Enrichi'!G38,"  MAD")</f>
        <v>5550  MAD</v>
      </c>
      <c r="F18" s="27">
        <f>'Catalogue Enrichi'!L38</f>
        <v>100</v>
      </c>
      <c r="G18" s="28" t="str">
        <f>HYPERLINK("https://devoteamlearning.udemy.com/course/pmp-certification-exam-prep-course-pmbok-6th-edition/","Udemy")</f>
        <v>Udemy</v>
      </c>
      <c r="H18" s="28" t="str">
        <f>HYPERLINK("https://www.pmi.org/certifications/project-management-pmp","Officiel")</f>
        <v>Officiel</v>
      </c>
    </row>
    <row r="19" spans="1:8" x14ac:dyDescent="0.25">
      <c r="A19" s="26" t="str">
        <f>'Catalogue Enrichi'!C39</f>
        <v>Prince2 Practitioner</v>
      </c>
      <c r="B19" s="27" t="str">
        <f>'Catalogue Enrichi'!D39</f>
        <v>PRINCE2-P</v>
      </c>
      <c r="C19" s="36" t="str">
        <f>'Catalogue Enrichi'!N39</f>
        <v>Manager</v>
      </c>
      <c r="D19" s="34" t="str">
        <f>'Catalogue Enrichi'!K39</f>
        <v>OPTIONNEL</v>
      </c>
      <c r="E19" s="27" t="str">
        <f>CONCATENATE('Catalogue Enrichi'!G39,"  MAD")</f>
        <v>4000  MAD</v>
      </c>
      <c r="F19" s="27">
        <f>'Catalogue Enrichi'!L39</f>
        <v>40</v>
      </c>
      <c r="G19" s="28" t="str">
        <f>HYPERLINK("https://devoteamlearning.udemy.com/course/intro-project-management/","Udemy")</f>
        <v>Udemy</v>
      </c>
      <c r="H19" s="28" t="str">
        <f>HYPERLINK("https://www.axelos.com/certifications/propath/prince2-project-management/prince2-practitioner","Officiel")</f>
        <v>Officiel</v>
      </c>
    </row>
    <row r="20" spans="1:8" x14ac:dyDescent="0.25">
      <c r="A20" s="26" t="str">
        <f>'Catalogue Enrichi'!C40</f>
        <v>Certified ScrumMaster</v>
      </c>
      <c r="B20" s="27" t="str">
        <f>'Catalogue Enrichi'!D40</f>
        <v>CSM</v>
      </c>
      <c r="C20" s="36" t="str">
        <f>'Catalogue Enrichi'!N40</f>
        <v>Manager</v>
      </c>
      <c r="D20" s="31" t="str">
        <f>'Catalogue Enrichi'!K40</f>
        <v>RECOMMANDE</v>
      </c>
      <c r="E20" s="27" t="str">
        <f>CONCATENATE('Catalogue Enrichi'!G40,"  MAD")</f>
        <v>9950  MAD</v>
      </c>
      <c r="F20" s="27">
        <f>'Catalogue Enrichi'!L40</f>
        <v>16</v>
      </c>
      <c r="G20" s="28" t="str">
        <f>HYPERLINK("https://devoteamlearning.udemy.com/course/scrumrealworld/","Udemy")</f>
        <v>Udemy</v>
      </c>
      <c r="H20" s="28" t="str">
        <f>HYPERLINK("https://www.scrumalliance.org/get-certified/scrum-master-track/certified-scrummaster","Officiel")</f>
        <v>Officiel</v>
      </c>
    </row>
  </sheetData>
  <mergeCells count="1">
    <mergeCell ref="A1:H1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/>
  <dimension ref="A1:H33"/>
  <sheetViews>
    <sheetView workbookViewId="0">
      <selection activeCell="H7" sqref="H7"/>
    </sheetView>
  </sheetViews>
  <sheetFormatPr baseColWidth="10" defaultColWidth="8.85546875" defaultRowHeight="15" x14ac:dyDescent="0.25"/>
  <cols>
    <col min="1" max="1" width="50" customWidth="1"/>
    <col min="2" max="2" width="15" customWidth="1"/>
    <col min="3" max="3" width="12" customWidth="1"/>
    <col min="4" max="4" width="15" customWidth="1"/>
    <col min="5" max="5" width="12" customWidth="1"/>
    <col min="6" max="6" width="10" customWidth="1"/>
    <col min="7" max="8" width="20" customWidth="1"/>
  </cols>
  <sheetData>
    <row r="1" spans="1:8" ht="21" customHeight="1" x14ac:dyDescent="0.25">
      <c r="A1" s="42" t="s">
        <v>235</v>
      </c>
      <c r="B1" s="38"/>
      <c r="C1" s="38"/>
      <c r="D1" s="38"/>
      <c r="E1" s="38"/>
      <c r="F1" s="38"/>
      <c r="G1" s="38"/>
      <c r="H1" s="38"/>
    </row>
    <row r="3" spans="1:8" x14ac:dyDescent="0.25">
      <c r="A3" s="15" t="s">
        <v>39</v>
      </c>
      <c r="B3" s="15" t="s">
        <v>40</v>
      </c>
      <c r="C3" s="15" t="s">
        <v>178</v>
      </c>
      <c r="D3" s="15" t="s">
        <v>176</v>
      </c>
      <c r="E3" s="15" t="s">
        <v>233</v>
      </c>
      <c r="F3" s="15" t="s">
        <v>42</v>
      </c>
      <c r="G3" s="15" t="s">
        <v>173</v>
      </c>
      <c r="H3" s="15" t="s">
        <v>174</v>
      </c>
    </row>
    <row r="4" spans="1:8" x14ac:dyDescent="0.25">
      <c r="A4" s="26" t="str">
        <f>'Catalogue Enrichi'!C4</f>
        <v>Professional Scrum Master I</v>
      </c>
      <c r="B4" s="27" t="str">
        <f>'Catalogue Enrichi'!D4</f>
        <v>PSM-I</v>
      </c>
      <c r="C4" s="30" t="str">
        <f>'Catalogue Enrichi'!N4</f>
        <v>Junior</v>
      </c>
      <c r="D4" s="29" t="str">
        <f>'Catalogue Enrichi'!K4</f>
        <v>OBLIGATOIRE</v>
      </c>
      <c r="E4" s="27" t="str">
        <f>CONCATENATE('Catalogue Enrichi'!G4,"  MAD")</f>
        <v>2000  MAD</v>
      </c>
      <c r="F4" s="27">
        <f>'Catalogue Enrichi'!L4</f>
        <v>40</v>
      </c>
      <c r="G4" s="28" t="str">
        <f>HYPERLINK("https://devoteamlearning.udemy.com/course/complete-agile-scrum-master-training-exam-simulator/","Udemy")</f>
        <v>Udemy</v>
      </c>
      <c r="H4" s="28" t="str">
        <f>HYPERLINK("https://www.scrum.org/assessments/professional-scrum-master-i-certification","Officiel")</f>
        <v>Officiel</v>
      </c>
    </row>
    <row r="5" spans="1:8" x14ac:dyDescent="0.25">
      <c r="A5" s="26" t="str">
        <f>'Catalogue Enrichi'!C5</f>
        <v>Professional Scrum Product Owner I</v>
      </c>
      <c r="B5" s="27" t="str">
        <f>'Catalogue Enrichi'!D5</f>
        <v>PSPO-I</v>
      </c>
      <c r="C5" s="32" t="str">
        <f>'Catalogue Enrichi'!N5</f>
        <v>Senior</v>
      </c>
      <c r="D5" s="31" t="str">
        <f>'Catalogue Enrichi'!K5</f>
        <v>RECOMMANDE</v>
      </c>
      <c r="E5" s="27" t="str">
        <f>CONCATENATE('Catalogue Enrichi'!G5,"  MAD")</f>
        <v>2000  MAD</v>
      </c>
      <c r="F5" s="27">
        <f>'Catalogue Enrichi'!L5</f>
        <v>40</v>
      </c>
      <c r="G5" s="28" t="str">
        <f>HYPERLINK("https://devoteamlearning.udemy.com/course/product-owner-course/","Udemy")</f>
        <v>Udemy</v>
      </c>
      <c r="H5" s="28" t="str">
        <f>HYPERLINK("https://www.scrum.org/assessments/professional-scrum-product-owner-i-certification","Officiel")</f>
        <v>Officiel</v>
      </c>
    </row>
    <row r="6" spans="1:8" x14ac:dyDescent="0.25">
      <c r="A6" s="26" t="str">
        <f>'Catalogue Enrichi'!C6</f>
        <v>SAFe 6 Agilist</v>
      </c>
      <c r="B6" s="27" t="str">
        <f>'Catalogue Enrichi'!D6</f>
        <v>SA</v>
      </c>
      <c r="C6" s="33" t="str">
        <f>'Catalogue Enrichi'!N6</f>
        <v>Lead</v>
      </c>
      <c r="D6" s="31" t="str">
        <f>'Catalogue Enrichi'!K6</f>
        <v>RECOMMANDE</v>
      </c>
      <c r="E6" s="27" t="str">
        <f>CONCATENATE('Catalogue Enrichi'!G6,"  MAD")</f>
        <v>9950  MAD</v>
      </c>
      <c r="F6" s="27">
        <f>'Catalogue Enrichi'!L6</f>
        <v>16</v>
      </c>
      <c r="G6" s="28" t="str">
        <f>HYPERLINK("https://devoteamlearning.udemy.com/course/safe-agilist-6-leading-safe/","Udemy")</f>
        <v>Udemy</v>
      </c>
      <c r="H6" s="28" t="str">
        <f>HYPERLINK("https://scaledagile.com/training/leading-safe/","Officiel")</f>
        <v>Officiel</v>
      </c>
    </row>
    <row r="7" spans="1:8" x14ac:dyDescent="0.25">
      <c r="A7" s="26" t="str">
        <f>'Catalogue Enrichi'!C7</f>
        <v>SAFe Release Train Engineer</v>
      </c>
      <c r="B7" s="27" t="str">
        <f>'Catalogue Enrichi'!D7</f>
        <v>RTE</v>
      </c>
      <c r="C7" s="35" t="str">
        <f>'Catalogue Enrichi'!N7</f>
        <v>Expert</v>
      </c>
      <c r="D7" s="34" t="str">
        <f>'Catalogue Enrichi'!K7</f>
        <v>OPTIONNEL</v>
      </c>
      <c r="E7" s="27" t="str">
        <f>CONCATENATE('Catalogue Enrichi'!G7,"  MAD")</f>
        <v>12950  MAD</v>
      </c>
      <c r="F7" s="27">
        <f>'Catalogue Enrichi'!L7</f>
        <v>24</v>
      </c>
      <c r="G7" s="28" t="str">
        <f>HYPERLINK("https://devoteamlearning.udemy.com/course/master-safe-60-release-train-engineer-safe-rte-essentials/","Udemy")</f>
        <v>Udemy</v>
      </c>
      <c r="H7" s="28" t="str">
        <f>HYPERLINK("https://scaledagile.com/training/safe-release-train-engineer/","Officiel")</f>
        <v>Officiel</v>
      </c>
    </row>
    <row r="8" spans="1:8" x14ac:dyDescent="0.25">
      <c r="A8" s="26" t="str">
        <f>'Catalogue Enrichi'!C8</f>
        <v>Professional Agile Leadership</v>
      </c>
      <c r="B8" s="27" t="str">
        <f>'Catalogue Enrichi'!D8</f>
        <v>PAL-I</v>
      </c>
      <c r="C8" s="36" t="str">
        <f>'Catalogue Enrichi'!N8</f>
        <v>Manager</v>
      </c>
      <c r="D8" s="34" t="str">
        <f>'Catalogue Enrichi'!K8</f>
        <v>OPTIONNEL</v>
      </c>
      <c r="E8" s="27" t="str">
        <f>CONCATENATE('Catalogue Enrichi'!G8,"  MAD")</f>
        <v>2000  MAD</v>
      </c>
      <c r="F8" s="27">
        <f>'Catalogue Enrichi'!L8</f>
        <v>16</v>
      </c>
      <c r="G8" s="28" t="str">
        <f>HYPERLINK("https://devoteamlearning.udemy.com/course/the-ultimate-agile-leader-certification-training/","Udemy")</f>
        <v>Udemy</v>
      </c>
      <c r="H8" s="28" t="str">
        <f>HYPERLINK("https://www.scrum.org/assessments/professional-agile-leadership-certification","Officiel")</f>
        <v>Officiel</v>
      </c>
    </row>
    <row r="9" spans="1:8" x14ac:dyDescent="0.25">
      <c r="A9" s="26" t="str">
        <f>'Catalogue Enrichi'!C9</f>
        <v>ITIL 4 Foundation</v>
      </c>
      <c r="B9" s="27" t="str">
        <f>'Catalogue Enrichi'!D9</f>
        <v>ITIL4-F</v>
      </c>
      <c r="C9" s="32" t="str">
        <f>'Catalogue Enrichi'!N9</f>
        <v>Senior</v>
      </c>
      <c r="D9" s="31" t="str">
        <f>'Catalogue Enrichi'!K9</f>
        <v>RECOMMANDE</v>
      </c>
      <c r="E9" s="27" t="str">
        <f>CONCATENATE('Catalogue Enrichi'!G9,"  MAD")</f>
        <v>3830  MAD</v>
      </c>
      <c r="F9" s="27">
        <f>'Catalogue Enrichi'!L9</f>
        <v>20</v>
      </c>
      <c r="G9" s="28" t="str">
        <f>HYPERLINK("https://devoteamlearning.udemy.com/course/service-management-itil-4/","Udemy")</f>
        <v>Udemy</v>
      </c>
      <c r="H9" s="28" t="str">
        <f>HYPERLINK("https://www.axelos.com/certifications/itil-service-management/itil-4-foundation","Officiel")</f>
        <v>Officiel</v>
      </c>
    </row>
    <row r="10" spans="1:8" x14ac:dyDescent="0.25">
      <c r="A10" s="26" t="str">
        <f>'Catalogue Enrichi'!C17</f>
        <v>VMware Certified Professional - DCV</v>
      </c>
      <c r="B10" s="27" t="str">
        <f>'Catalogue Enrichi'!D17</f>
        <v>VCP-DCV</v>
      </c>
      <c r="C10" s="32" t="str">
        <f>'Catalogue Enrichi'!N17</f>
        <v>Senior</v>
      </c>
      <c r="D10" s="29" t="str">
        <f>'Catalogue Enrichi'!K17</f>
        <v>OBLIGATOIRE</v>
      </c>
      <c r="E10" s="27" t="str">
        <f>CONCATENATE('Catalogue Enrichi'!G17,"  MAD")</f>
        <v>2500  MAD</v>
      </c>
      <c r="F10" s="27">
        <f>'Catalogue Enrichi'!L17</f>
        <v>100</v>
      </c>
      <c r="G10" s="28" t="str">
        <f>HYPERLINK("https://devoteamlearning.udemy.com/course/vsphere8vcp/","Udemy")</f>
        <v>Udemy</v>
      </c>
      <c r="H10" s="28" t="str">
        <f>HYPERLINK("https://www.vmware.com/learning/certification/vcp-dcv.html","Officiel")</f>
        <v>Officiel</v>
      </c>
    </row>
    <row r="11" spans="1:8" x14ac:dyDescent="0.25">
      <c r="A11" s="26" t="str">
        <f>'Catalogue Enrichi'!C18</f>
        <v>Red Hat Certified System Administrator</v>
      </c>
      <c r="B11" s="27" t="str">
        <f>'Catalogue Enrichi'!D18</f>
        <v>RHCSA</v>
      </c>
      <c r="C11" s="30" t="str">
        <f>'Catalogue Enrichi'!N18</f>
        <v>Junior</v>
      </c>
      <c r="D11" s="29" t="str">
        <f>'Catalogue Enrichi'!K18</f>
        <v>OBLIGATOIRE</v>
      </c>
      <c r="E11" s="27" t="str">
        <f>CONCATENATE('Catalogue Enrichi'!G18,"  MAD")</f>
        <v>5000  MAD</v>
      </c>
      <c r="F11" s="27">
        <f>'Catalogue Enrichi'!L18</f>
        <v>80</v>
      </c>
      <c r="G11" s="28" t="str">
        <f>HYPERLINK("https://devoteamlearning.udemy.com/course/unofficial-linux-redhat-certified-system-administrator-rhcsa/","Udemy")</f>
        <v>Udemy</v>
      </c>
      <c r="H11" s="28" t="str">
        <f>HYPERLINK("https://www.redhat.com/en/services/certification/rhcsa","Officiel")</f>
        <v>Officiel</v>
      </c>
    </row>
    <row r="12" spans="1:8" x14ac:dyDescent="0.25">
      <c r="A12" s="26" t="str">
        <f>'Catalogue Enrichi'!C19</f>
        <v>Red Hat Certified Engineer</v>
      </c>
      <c r="B12" s="27" t="str">
        <f>'Catalogue Enrichi'!D19</f>
        <v>RHCE</v>
      </c>
      <c r="C12" s="32" t="str">
        <f>'Catalogue Enrichi'!N19</f>
        <v>Senior</v>
      </c>
      <c r="D12" s="31" t="str">
        <f>'Catalogue Enrichi'!K19</f>
        <v>RECOMMANDE</v>
      </c>
      <c r="E12" s="27" t="str">
        <f>CONCATENATE('Catalogue Enrichi'!G19,"  MAD")</f>
        <v>5000  MAD</v>
      </c>
      <c r="F12" s="27">
        <f>'Catalogue Enrichi'!L19</f>
        <v>100</v>
      </c>
      <c r="G12" s="28" t="str">
        <f>HYPERLINK("https://devoteamlearning.udemy.com/course/linux-red-hat-certified-engineer-rhce-ex294/","Udemy")</f>
        <v>Udemy</v>
      </c>
      <c r="H12" s="28" t="str">
        <f>HYPERLINK("https://www.redhat.com/en/services/certification/rhce","Officiel")</f>
        <v>Officiel</v>
      </c>
    </row>
    <row r="13" spans="1:8" x14ac:dyDescent="0.25">
      <c r="A13" s="26" t="str">
        <f>'Catalogue Enrichi'!C20</f>
        <v>Linux Foundation Certified System Administrator</v>
      </c>
      <c r="B13" s="27" t="str">
        <f>'Catalogue Enrichi'!D20</f>
        <v>LFCS</v>
      </c>
      <c r="C13" s="30" t="str">
        <f>'Catalogue Enrichi'!N20</f>
        <v>Junior</v>
      </c>
      <c r="D13" s="31" t="str">
        <f>'Catalogue Enrichi'!K20</f>
        <v>RECOMMANDE</v>
      </c>
      <c r="E13" s="27" t="str">
        <f>CONCATENATE('Catalogue Enrichi'!G20,"  MAD")</f>
        <v>4450  MAD</v>
      </c>
      <c r="F13" s="27">
        <f>'Catalogue Enrichi'!L20</f>
        <v>60</v>
      </c>
      <c r="G13" s="28" t="str">
        <f>HYPERLINK("https://devoteamlearning.udemy.com/course/linux-foundation-certified-systems-administrator-lfcs/","Udemy")</f>
        <v>Udemy</v>
      </c>
      <c r="H13" s="28" t="str">
        <f>HYPERLINK("https://training.linuxfoundation.org/certification/linux-foundation-certified-sysadmin-lfcs/","Officiel")</f>
        <v>Officiel</v>
      </c>
    </row>
    <row r="14" spans="1:8" x14ac:dyDescent="0.25">
      <c r="A14" s="26" t="str">
        <f>'Catalogue Enrichi'!C21</f>
        <v>GitLab Certified CI/CD Professional</v>
      </c>
      <c r="B14" s="27" t="str">
        <f>'Catalogue Enrichi'!D21</f>
        <v>GITLAB-PROF</v>
      </c>
      <c r="C14" s="32" t="str">
        <f>'Catalogue Enrichi'!N21</f>
        <v>Senior</v>
      </c>
      <c r="D14" s="29" t="str">
        <f>'Catalogue Enrichi'!K21</f>
        <v>OBLIGATOIRE</v>
      </c>
      <c r="E14" s="27" t="str">
        <f>CONCATENATE('Catalogue Enrichi'!G21,"  MAD")</f>
        <v>6500  MAD</v>
      </c>
      <c r="F14" s="27">
        <f>'Catalogue Enrichi'!L21</f>
        <v>40</v>
      </c>
      <c r="G14" s="28" t="str">
        <f>HYPERLINK("https://devoteamlearning.udemy.com/course/gitlab-ci-pipelines-ci-cd-and-devops-for-beginners/","Udemy")</f>
        <v>Udemy</v>
      </c>
      <c r="H14" s="28" t="str">
        <f>HYPERLINK("https://about.gitlab.com/services/education/gitlab-cicd-associate/","Officiel")</f>
        <v>Officiel</v>
      </c>
    </row>
    <row r="15" spans="1:8" x14ac:dyDescent="0.25">
      <c r="A15" s="26" t="str">
        <f>'Catalogue Enrichi'!C22</f>
        <v>Jenkins Engineer</v>
      </c>
      <c r="B15" s="27" t="str">
        <f>'Catalogue Enrichi'!D22</f>
        <v>CJE</v>
      </c>
      <c r="C15" s="32" t="str">
        <f>'Catalogue Enrichi'!N22</f>
        <v>Senior</v>
      </c>
      <c r="D15" s="34" t="str">
        <f>'Catalogue Enrichi'!K22</f>
        <v>OPTIONNEL</v>
      </c>
      <c r="E15" s="27" t="str">
        <f>CONCATENATE('Catalogue Enrichi'!G22,"  MAD")</f>
        <v>1500  MAD</v>
      </c>
      <c r="F15" s="27">
        <f>'Catalogue Enrichi'!L22</f>
        <v>50</v>
      </c>
      <c r="G15" s="28" t="str">
        <f>HYPERLINK("https://devoteamlearning.udemy.com/course/jenkins-from-zero-to-hero/","Udemy")</f>
        <v>Udemy</v>
      </c>
      <c r="H15" s="28" t="str">
        <f>HYPERLINK("https://www.cloudbees.com/jenkins/certification","Officiel")</f>
        <v>Officiel</v>
      </c>
    </row>
    <row r="16" spans="1:8" x14ac:dyDescent="0.25">
      <c r="A16" s="26" t="str">
        <f>'Catalogue Enrichi'!C23</f>
        <v>Prometheus Certified Associate</v>
      </c>
      <c r="B16" s="27" t="str">
        <f>'Catalogue Enrichi'!D23</f>
        <v>PCA</v>
      </c>
      <c r="C16" s="32" t="str">
        <f>'Catalogue Enrichi'!N23</f>
        <v>Senior</v>
      </c>
      <c r="D16" s="31" t="str">
        <f>'Catalogue Enrichi'!K23</f>
        <v>RECOMMANDE</v>
      </c>
      <c r="E16" s="27" t="str">
        <f>CONCATENATE('Catalogue Enrichi'!G23,"  MAD")</f>
        <v>2500  MAD</v>
      </c>
      <c r="F16" s="27">
        <f>'Catalogue Enrichi'!L23</f>
        <v>40</v>
      </c>
      <c r="G16" s="28" t="str">
        <f>HYPERLINK("https://devoteamlearning.udemy.com/course/prometheus-course/","Udemy")</f>
        <v>Udemy</v>
      </c>
      <c r="H16" s="28" t="str">
        <f>HYPERLINK("https://training.linuxfoundation.org/certification/prometheus-certified-associate/","Officiel")</f>
        <v>Officiel</v>
      </c>
    </row>
    <row r="17" spans="1:8" x14ac:dyDescent="0.25">
      <c r="A17" s="26" t="str">
        <f>'Catalogue Enrichi'!C24</f>
        <v>Cisco CCNA</v>
      </c>
      <c r="B17" s="27" t="str">
        <f>'Catalogue Enrichi'!D24</f>
        <v>CCNA</v>
      </c>
      <c r="C17" s="32" t="str">
        <f>'Catalogue Enrichi'!N24</f>
        <v>Senior</v>
      </c>
      <c r="D17" s="31" t="str">
        <f>'Catalogue Enrichi'!K24</f>
        <v>RECOMMANDE</v>
      </c>
      <c r="E17" s="27" t="str">
        <f>CONCATENATE('Catalogue Enrichi'!G24,"  MAD")</f>
        <v>3000  MAD</v>
      </c>
      <c r="F17" s="27">
        <f>'Catalogue Enrichi'!L24</f>
        <v>120</v>
      </c>
      <c r="G17" s="28" t="str">
        <f>HYPERLINK("https://devoteamlearning.udemy.com/course/ccna-complete/","Udemy")</f>
        <v>Udemy</v>
      </c>
      <c r="H17" s="28" t="str">
        <f>HYPERLINK("https://www.cisco.com/c/en/us/training-events/training-certifications/certifications/associate/ccna.html","Officiel")</f>
        <v>Officiel</v>
      </c>
    </row>
    <row r="18" spans="1:8" x14ac:dyDescent="0.25">
      <c r="A18" s="26" t="str">
        <f>'Catalogue Enrichi'!C25</f>
        <v>Certified Kubernetes Application Developer</v>
      </c>
      <c r="B18" s="27" t="str">
        <f>'Catalogue Enrichi'!D25</f>
        <v>CKAD</v>
      </c>
      <c r="C18" s="32" t="str">
        <f>'Catalogue Enrichi'!N25</f>
        <v>Senior</v>
      </c>
      <c r="D18" s="29" t="str">
        <f>'Catalogue Enrichi'!K25</f>
        <v>OBLIGATOIRE</v>
      </c>
      <c r="E18" s="27" t="str">
        <f>CONCATENATE('Catalogue Enrichi'!G25,"  MAD")</f>
        <v>4450  MAD</v>
      </c>
      <c r="F18" s="27">
        <f>'Catalogue Enrichi'!L25</f>
        <v>80</v>
      </c>
      <c r="G18" s="28" t="str">
        <f>HYPERLINK("https://devoteamlearning.udemy.com/course/certified-kubernetes-application-developer/","Udemy")</f>
        <v>Udemy</v>
      </c>
      <c r="H18" s="28" t="str">
        <f>HYPERLINK("https://www.cncf.io/certification/ckad/","Officiel")</f>
        <v>Officiel</v>
      </c>
    </row>
    <row r="19" spans="1:8" x14ac:dyDescent="0.25">
      <c r="A19" s="26" t="str">
        <f>'Catalogue Enrichi'!C26</f>
        <v>Certified Kubernetes Administrator</v>
      </c>
      <c r="B19" s="27" t="str">
        <f>'Catalogue Enrichi'!D26</f>
        <v>CKA</v>
      </c>
      <c r="C19" s="33" t="str">
        <f>'Catalogue Enrichi'!N26</f>
        <v>Lead</v>
      </c>
      <c r="D19" s="31" t="str">
        <f>'Catalogue Enrichi'!K26</f>
        <v>RECOMMANDE</v>
      </c>
      <c r="E19" s="27" t="str">
        <f>CONCATENATE('Catalogue Enrichi'!G26,"  MAD")</f>
        <v>4450  MAD</v>
      </c>
      <c r="F19" s="27">
        <f>'Catalogue Enrichi'!L26</f>
        <v>100</v>
      </c>
      <c r="G19" s="28" t="str">
        <f>HYPERLINK("https://devoteamlearning.udemy.com/course/certified-kubernetes-administrator-with-practice-tests/","Udemy")</f>
        <v>Udemy</v>
      </c>
      <c r="H19" s="28" t="str">
        <f>HYPERLINK("https://www.cncf.io/certification/cka/","Officiel")</f>
        <v>Officiel</v>
      </c>
    </row>
    <row r="20" spans="1:8" x14ac:dyDescent="0.25">
      <c r="A20" s="26" t="str">
        <f>'Catalogue Enrichi'!C27</f>
        <v>Certified Kubernetes Security Specialist</v>
      </c>
      <c r="B20" s="27" t="str">
        <f>'Catalogue Enrichi'!D27</f>
        <v>CKS</v>
      </c>
      <c r="C20" s="35" t="str">
        <f>'Catalogue Enrichi'!N27</f>
        <v>Expert</v>
      </c>
      <c r="D20" s="34" t="str">
        <f>'Catalogue Enrichi'!K27</f>
        <v>OPTIONNEL</v>
      </c>
      <c r="E20" s="27" t="str">
        <f>CONCATENATE('Catalogue Enrichi'!G27,"  MAD")</f>
        <v>4450  MAD</v>
      </c>
      <c r="F20" s="27">
        <f>'Catalogue Enrichi'!L27</f>
        <v>120</v>
      </c>
      <c r="G20" s="28" t="str">
        <f>HYPERLINK("https://devoteamlearning.udemy.com/course/certified-kubernetes-security-specialist-certification/","Udemy")</f>
        <v>Udemy</v>
      </c>
      <c r="H20" s="28" t="str">
        <f>HYPERLINK("https://www.cncf.io/certification/cks/","Officiel")</f>
        <v>Officiel</v>
      </c>
    </row>
    <row r="21" spans="1:8" x14ac:dyDescent="0.25">
      <c r="A21" s="26" t="str">
        <f>'Catalogue Enrichi'!C28</f>
        <v>HashiCorp Terraform Associate</v>
      </c>
      <c r="B21" s="27" t="str">
        <f>'Catalogue Enrichi'!D28</f>
        <v>TERRAFORM-003</v>
      </c>
      <c r="C21" s="32" t="str">
        <f>'Catalogue Enrichi'!N28</f>
        <v>Senior</v>
      </c>
      <c r="D21" s="31" t="str">
        <f>'Catalogue Enrichi'!K28</f>
        <v>RECOMMANDE</v>
      </c>
      <c r="E21" s="27" t="str">
        <f>CONCATENATE('Catalogue Enrichi'!G28,"  MAD")</f>
        <v>700  MAD</v>
      </c>
      <c r="F21" s="27">
        <f>'Catalogue Enrichi'!L28</f>
        <v>50</v>
      </c>
      <c r="G21" s="28" t="str">
        <f>HYPERLINK("https://devoteamlearning.udemy.com/course/terraform-beginner-to-advanced/","Udemy")</f>
        <v>Udemy</v>
      </c>
      <c r="H21" s="28" t="str">
        <f>HYPERLINK("https://www.hashicorp.com/certification/terraform-associate","Officiel")</f>
        <v>Officiel</v>
      </c>
    </row>
    <row r="22" spans="1:8" x14ac:dyDescent="0.25">
      <c r="A22" s="26" t="str">
        <f>'Catalogue Enrichi'!C29</f>
        <v>AWS Solutions Architect Associate</v>
      </c>
      <c r="B22" s="27" t="str">
        <f>'Catalogue Enrichi'!D29</f>
        <v>SAA-C03</v>
      </c>
      <c r="C22" s="32" t="str">
        <f>'Catalogue Enrichi'!N29</f>
        <v>Senior</v>
      </c>
      <c r="D22" s="31" t="str">
        <f>'Catalogue Enrichi'!K29</f>
        <v>RECOMMANDE</v>
      </c>
      <c r="E22" s="27" t="str">
        <f>CONCATENATE('Catalogue Enrichi'!G29,"  MAD")</f>
        <v>1500  MAD</v>
      </c>
      <c r="F22" s="27">
        <f>'Catalogue Enrichi'!L29</f>
        <v>60</v>
      </c>
      <c r="G22" s="28" t="str">
        <f>HYPERLINK("https://devoteamlearning.udemy.com/course/aws-certified-solutions-architect-associate-saa-c03/","Udemy")</f>
        <v>Udemy</v>
      </c>
      <c r="H22" s="28" t="str">
        <f>HYPERLINK("https://aws.amazon.com/certification/certified-solutions-architect-associate/","Officiel")</f>
        <v>Officiel</v>
      </c>
    </row>
    <row r="23" spans="1:8" x14ac:dyDescent="0.25">
      <c r="A23" s="26" t="str">
        <f>'Catalogue Enrichi'!C30</f>
        <v>AWS Solutions Architect Professional</v>
      </c>
      <c r="B23" s="27" t="str">
        <f>'Catalogue Enrichi'!D30</f>
        <v>SAP-C02</v>
      </c>
      <c r="C23" s="35" t="str">
        <f>'Catalogue Enrichi'!N30</f>
        <v>Expert</v>
      </c>
      <c r="D23" s="34" t="str">
        <f>'Catalogue Enrichi'!K30</f>
        <v>OPTIONNEL</v>
      </c>
      <c r="E23" s="27" t="str">
        <f>CONCATENATE('Catalogue Enrichi'!G30,"  MAD")</f>
        <v>3000  MAD</v>
      </c>
      <c r="F23" s="27">
        <f>'Catalogue Enrichi'!L30</f>
        <v>150</v>
      </c>
      <c r="G23" s="28" t="str">
        <f>HYPERLINK("https://devoteamlearning.udemy.com/course/aws-solutions-architect-professional/","Udemy")</f>
        <v>Udemy</v>
      </c>
      <c r="H23" s="28" t="str">
        <f>HYPERLINK("https://aws.amazon.com/certification/certified-solutions-architect-professional/","Officiel")</f>
        <v>Officiel</v>
      </c>
    </row>
    <row r="24" spans="1:8" x14ac:dyDescent="0.25">
      <c r="A24" s="26" t="str">
        <f>'Catalogue Enrichi'!C31</f>
        <v>AWS Developer Associate</v>
      </c>
      <c r="B24" s="27" t="str">
        <f>'Catalogue Enrichi'!D31</f>
        <v>DVA-C02</v>
      </c>
      <c r="C24" s="32" t="str">
        <f>'Catalogue Enrichi'!N31</f>
        <v>Senior</v>
      </c>
      <c r="D24" s="34" t="str">
        <f>'Catalogue Enrichi'!K31</f>
        <v>OPTIONNEL</v>
      </c>
      <c r="E24" s="27" t="str">
        <f>CONCATENATE('Catalogue Enrichi'!G31,"  MAD")</f>
        <v>1500  MAD</v>
      </c>
      <c r="F24" s="27">
        <f>'Catalogue Enrichi'!L31</f>
        <v>50</v>
      </c>
      <c r="G24" s="28" t="str">
        <f>HYPERLINK("https://devoteamlearning.udemy.com/course/aws-certified-developer-associate-dva-c01/","Udemy")</f>
        <v>Udemy</v>
      </c>
      <c r="H24" s="28" t="str">
        <f>HYPERLINK("https://aws.amazon.com/certification/certified-developer-associate/","Officiel")</f>
        <v>Officiel</v>
      </c>
    </row>
    <row r="25" spans="1:8" x14ac:dyDescent="0.25">
      <c r="A25" s="26" t="str">
        <f>'Catalogue Enrichi'!C32</f>
        <v>Google Cloud Associate Engineer</v>
      </c>
      <c r="B25" s="27" t="str">
        <f>'Catalogue Enrichi'!D32</f>
        <v>ACE</v>
      </c>
      <c r="C25" s="32" t="str">
        <f>'Catalogue Enrichi'!N32</f>
        <v>Senior</v>
      </c>
      <c r="D25" s="34" t="str">
        <f>'Catalogue Enrichi'!K32</f>
        <v>OPTIONNEL</v>
      </c>
      <c r="E25" s="27" t="str">
        <f>CONCATENATE('Catalogue Enrichi'!G32,"  MAD")</f>
        <v>1250  MAD</v>
      </c>
      <c r="F25" s="27">
        <f>'Catalogue Enrichi'!L32</f>
        <v>50</v>
      </c>
      <c r="G25" s="28" t="str">
        <f>HYPERLINK("https://devoteamlearning.udemy.com/course/google-cloud-associate-engineer/","Udemy")</f>
        <v>Udemy</v>
      </c>
      <c r="H25" s="28" t="str">
        <f>HYPERLINK("https://cloud.google.com/certification/cloud-engineer","Officiel")</f>
        <v>Officiel</v>
      </c>
    </row>
    <row r="26" spans="1:8" x14ac:dyDescent="0.25">
      <c r="A26" s="26" t="str">
        <f>'Catalogue Enrichi'!C33</f>
        <v>TOGAF 10 Enterprise Architecture Foundation</v>
      </c>
      <c r="B26" s="27" t="str">
        <f>'Catalogue Enrichi'!D33</f>
        <v>TOGAF-10</v>
      </c>
      <c r="C26" s="35" t="str">
        <f>'Catalogue Enrichi'!N33</f>
        <v>Expert</v>
      </c>
      <c r="D26" s="34" t="str">
        <f>'Catalogue Enrichi'!K33</f>
        <v>OPTIONNEL</v>
      </c>
      <c r="E26" s="27" t="str">
        <f>CONCATENATE('Catalogue Enrichi'!G33,"  MAD")</f>
        <v>5950  MAD</v>
      </c>
      <c r="F26" s="27">
        <f>'Catalogue Enrichi'!L33</f>
        <v>80</v>
      </c>
      <c r="G26" s="28" t="str">
        <f>HYPERLINK("http://devoteamlearning.udemy.com/course/togaf-10-ea-foundation/","Udemy")</f>
        <v>Udemy</v>
      </c>
      <c r="H26" s="28" t="str">
        <f>HYPERLINK("https://www.opengroup.org/certifications/togaf","Officiel")</f>
        <v>Officiel</v>
      </c>
    </row>
    <row r="27" spans="1:8" x14ac:dyDescent="0.25">
      <c r="A27" s="26" t="str">
        <f>'Catalogue Enrichi'!C34</f>
        <v>Microsoft Azure AI Fundamentals</v>
      </c>
      <c r="B27" s="27" t="str">
        <f>'Catalogue Enrichi'!D34</f>
        <v>AI-900</v>
      </c>
      <c r="C27" s="30" t="str">
        <f>'Catalogue Enrichi'!N34</f>
        <v>Junior</v>
      </c>
      <c r="D27" s="31" t="str">
        <f>'Catalogue Enrichi'!K34</f>
        <v>RECOMMANDE</v>
      </c>
      <c r="E27" s="27" t="str">
        <f>CONCATENATE('Catalogue Enrichi'!G34,"  MAD")</f>
        <v>990  MAD</v>
      </c>
      <c r="F27" s="27">
        <f>'Catalogue Enrichi'!L34</f>
        <v>20</v>
      </c>
      <c r="G27" s="28" t="str">
        <f>HYPERLINK("https://devoteamlearning.udemy.com/course/ai900-azure/","Udemy")</f>
        <v>Udemy</v>
      </c>
      <c r="H27" s="28" t="str">
        <f>HYPERLINK("https://learn.microsoft.com/certifications/azure-ai-fundamentals/","Officiel")</f>
        <v>Officiel</v>
      </c>
    </row>
    <row r="28" spans="1:8" x14ac:dyDescent="0.25">
      <c r="A28" s="26" t="str">
        <f>'Catalogue Enrichi'!C35</f>
        <v>Microsoft Azure AI Engineer Associate</v>
      </c>
      <c r="B28" s="27" t="str">
        <f>'Catalogue Enrichi'!D35</f>
        <v>AI-102</v>
      </c>
      <c r="C28" s="32" t="str">
        <f>'Catalogue Enrichi'!N35</f>
        <v>Senior</v>
      </c>
      <c r="D28" s="31" t="str">
        <f>'Catalogue Enrichi'!K35</f>
        <v>RECOMMANDE</v>
      </c>
      <c r="E28" s="27" t="str">
        <f>CONCATENATE('Catalogue Enrichi'!G35,"  MAD")</f>
        <v>1650  MAD</v>
      </c>
      <c r="F28" s="27">
        <f>'Catalogue Enrichi'!L35</f>
        <v>60</v>
      </c>
      <c r="G28" s="28" t="str">
        <f>HYPERLINK("https://devoteamlearning.udemy.com/course/ai102-azure/","Udemy")</f>
        <v>Udemy</v>
      </c>
      <c r="H28" s="28" t="str">
        <f>HYPERLINK("https://learn.microsoft.com/certifications/azure-ai-engineer/","Officiel")</f>
        <v>Officiel</v>
      </c>
    </row>
    <row r="29" spans="1:8" x14ac:dyDescent="0.25">
      <c r="A29" s="26" t="str">
        <f>'Catalogue Enrichi'!C36</f>
        <v>CompTIA Security+</v>
      </c>
      <c r="B29" s="27" t="str">
        <f>'Catalogue Enrichi'!D36</f>
        <v>SY0-701</v>
      </c>
      <c r="C29" s="30" t="str">
        <f>'Catalogue Enrichi'!N36</f>
        <v>Junior</v>
      </c>
      <c r="D29" s="34" t="str">
        <f>'Catalogue Enrichi'!K36</f>
        <v>OPTIONNEL</v>
      </c>
      <c r="E29" s="27" t="str">
        <f>CONCATENATE('Catalogue Enrichi'!G36,"  MAD")</f>
        <v>4250  MAD</v>
      </c>
      <c r="F29" s="27">
        <f>'Catalogue Enrichi'!L36</f>
        <v>50</v>
      </c>
      <c r="G29" s="28" t="str">
        <f>HYPERLINK("https://devoteamlearning.udemy.com/course/securityplus/","Udemy")</f>
        <v>Udemy</v>
      </c>
      <c r="H29" s="28" t="str">
        <f>HYPERLINK("https://www.comptia.org/certifications/security","Officiel")</f>
        <v>Officiel</v>
      </c>
    </row>
    <row r="30" spans="1:8" x14ac:dyDescent="0.25">
      <c r="A30" s="26" t="str">
        <f>'Catalogue Enrichi'!C37</f>
        <v>Certified Ethical Hacker</v>
      </c>
      <c r="B30" s="27" t="str">
        <f>'Catalogue Enrichi'!D37</f>
        <v>CEH</v>
      </c>
      <c r="C30" s="33" t="str">
        <f>'Catalogue Enrichi'!N37</f>
        <v>Lead</v>
      </c>
      <c r="D30" s="34" t="str">
        <f>'Catalogue Enrichi'!K37</f>
        <v>OPTIONNEL</v>
      </c>
      <c r="E30" s="27" t="str">
        <f>CONCATENATE('Catalogue Enrichi'!G37,"  MAD")</f>
        <v>9500  MAD</v>
      </c>
      <c r="F30" s="27">
        <f>'Catalogue Enrichi'!L37</f>
        <v>100</v>
      </c>
      <c r="G30" s="28" t="str">
        <f>HYPERLINK("https://devoteamlearning.udemy.com/course/ceh-practical-complete-course-exam/","Udemy")</f>
        <v>Udemy</v>
      </c>
      <c r="H30" s="28" t="str">
        <f>HYPERLINK("https://www.eccouncil.org/programs/certified-ethical-hacker-ceh/","Officiel")</f>
        <v>Officiel</v>
      </c>
    </row>
    <row r="31" spans="1:8" x14ac:dyDescent="0.25">
      <c r="A31" s="26" t="str">
        <f>'Catalogue Enrichi'!C38</f>
        <v>Project Management Professional</v>
      </c>
      <c r="B31" s="27" t="str">
        <f>'Catalogue Enrichi'!D38</f>
        <v>PMP</v>
      </c>
      <c r="C31" s="36" t="str">
        <f>'Catalogue Enrichi'!N38</f>
        <v>Manager</v>
      </c>
      <c r="D31" s="34" t="str">
        <f>'Catalogue Enrichi'!K38</f>
        <v>OPTIONNEL</v>
      </c>
      <c r="E31" s="27" t="str">
        <f>CONCATENATE('Catalogue Enrichi'!G38,"  MAD")</f>
        <v>5550  MAD</v>
      </c>
      <c r="F31" s="27">
        <f>'Catalogue Enrichi'!L38</f>
        <v>100</v>
      </c>
      <c r="G31" s="28" t="str">
        <f>HYPERLINK("https://devoteamlearning.udemy.com/course/pmp-certification-exam-prep-course-pmbok-6th-edition/","Udemy")</f>
        <v>Udemy</v>
      </c>
      <c r="H31" s="28" t="str">
        <f>HYPERLINK("https://www.pmi.org/certifications/project-management-pmp","Officiel")</f>
        <v>Officiel</v>
      </c>
    </row>
    <row r="32" spans="1:8" x14ac:dyDescent="0.25">
      <c r="A32" s="26" t="str">
        <f>'Catalogue Enrichi'!C39</f>
        <v>Prince2 Practitioner</v>
      </c>
      <c r="B32" s="27" t="str">
        <f>'Catalogue Enrichi'!D39</f>
        <v>PRINCE2-P</v>
      </c>
      <c r="C32" s="36" t="str">
        <f>'Catalogue Enrichi'!N39</f>
        <v>Manager</v>
      </c>
      <c r="D32" s="34" t="str">
        <f>'Catalogue Enrichi'!K39</f>
        <v>OPTIONNEL</v>
      </c>
      <c r="E32" s="27" t="str">
        <f>CONCATENATE('Catalogue Enrichi'!G39,"  MAD")</f>
        <v>4000  MAD</v>
      </c>
      <c r="F32" s="27">
        <f>'Catalogue Enrichi'!L39</f>
        <v>40</v>
      </c>
      <c r="G32" s="28" t="str">
        <f>HYPERLINK("https://devoteamlearning.udemy.com/course/intro-project-management/","Udemy")</f>
        <v>Udemy</v>
      </c>
      <c r="H32" s="28" t="str">
        <f>HYPERLINK("https://www.axelos.com/certifications/propath/prince2-project-management/prince2-practitioner","Officiel")</f>
        <v>Officiel</v>
      </c>
    </row>
    <row r="33" spans="1:8" x14ac:dyDescent="0.25">
      <c r="A33" s="26" t="str">
        <f>'Catalogue Enrichi'!C40</f>
        <v>Certified ScrumMaster</v>
      </c>
      <c r="B33" s="27" t="str">
        <f>'Catalogue Enrichi'!D40</f>
        <v>CSM</v>
      </c>
      <c r="C33" s="36" t="str">
        <f>'Catalogue Enrichi'!N40</f>
        <v>Manager</v>
      </c>
      <c r="D33" s="31" t="str">
        <f>'Catalogue Enrichi'!K40</f>
        <v>RECOMMANDE</v>
      </c>
      <c r="E33" s="27" t="str">
        <f>CONCATENATE('Catalogue Enrichi'!G40,"  MAD")</f>
        <v>9950  MAD</v>
      </c>
      <c r="F33" s="27">
        <f>'Catalogue Enrichi'!L40</f>
        <v>16</v>
      </c>
      <c r="G33" s="28" t="str">
        <f>HYPERLINK("https://devoteamlearning.udemy.com/course/scrumrealworld/","Udemy")</f>
        <v>Udemy</v>
      </c>
      <c r="H33" s="28" t="str">
        <f>HYPERLINK("https://www.scrumalliance.org/get-certified/scrum-master-track/certified-scrummaster","Officiel")</f>
        <v>Officiel</v>
      </c>
    </row>
  </sheetData>
  <mergeCells count="1">
    <mergeCell ref="A1:H1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6"/>
  <dimension ref="A1:H26"/>
  <sheetViews>
    <sheetView workbookViewId="0">
      <selection activeCell="N15" sqref="N15"/>
    </sheetView>
  </sheetViews>
  <sheetFormatPr baseColWidth="10" defaultColWidth="8.85546875" defaultRowHeight="15" x14ac:dyDescent="0.25"/>
  <cols>
    <col min="1" max="1" width="50" customWidth="1"/>
    <col min="2" max="2" width="15" customWidth="1"/>
    <col min="3" max="3" width="12" customWidth="1"/>
    <col min="4" max="4" width="15" customWidth="1"/>
    <col min="5" max="5" width="12" customWidth="1"/>
    <col min="6" max="6" width="10" customWidth="1"/>
    <col min="7" max="8" width="20" customWidth="1"/>
  </cols>
  <sheetData>
    <row r="1" spans="1:8" ht="21" customHeight="1" x14ac:dyDescent="0.25">
      <c r="A1" s="42" t="s">
        <v>236</v>
      </c>
      <c r="B1" s="38"/>
      <c r="C1" s="38"/>
      <c r="D1" s="38"/>
      <c r="E1" s="38"/>
      <c r="F1" s="38"/>
      <c r="G1" s="38"/>
      <c r="H1" s="38"/>
    </row>
    <row r="3" spans="1:8" x14ac:dyDescent="0.25">
      <c r="A3" s="15" t="s">
        <v>39</v>
      </c>
      <c r="B3" s="15" t="s">
        <v>40</v>
      </c>
      <c r="C3" s="15" t="s">
        <v>178</v>
      </c>
      <c r="D3" s="15" t="s">
        <v>176</v>
      </c>
      <c r="E3" s="15" t="s">
        <v>233</v>
      </c>
      <c r="F3" s="15" t="s">
        <v>42</v>
      </c>
      <c r="G3" s="15" t="s">
        <v>173</v>
      </c>
      <c r="H3" s="15" t="s">
        <v>174</v>
      </c>
    </row>
    <row r="4" spans="1:8" x14ac:dyDescent="0.25">
      <c r="A4" s="26" t="str">
        <f>'Catalogue Enrichi'!C4</f>
        <v>Professional Scrum Master I</v>
      </c>
      <c r="B4" s="27" t="str">
        <f>'Catalogue Enrichi'!D4</f>
        <v>PSM-I</v>
      </c>
      <c r="C4" s="30" t="str">
        <f>'Catalogue Enrichi'!N4</f>
        <v>Junior</v>
      </c>
      <c r="D4" s="29" t="str">
        <f>'Catalogue Enrichi'!K4</f>
        <v>OBLIGATOIRE</v>
      </c>
      <c r="E4" s="27" t="str">
        <f>CONCATENATE('Catalogue Enrichi'!G4,"  MAD")</f>
        <v>2000  MAD</v>
      </c>
      <c r="F4" s="27">
        <f>'Catalogue Enrichi'!L4</f>
        <v>40</v>
      </c>
      <c r="G4" s="28" t="str">
        <f>HYPERLINK("https://devoteamlearning.udemy.com/course/complete-agile-scrum-master-training-exam-simulator/","Udemy")</f>
        <v>Udemy</v>
      </c>
      <c r="H4" s="28" t="str">
        <f>HYPERLINK("https://www.scrum.org/assessments/professional-scrum-master-i-certification","Officiel")</f>
        <v>Officiel</v>
      </c>
    </row>
    <row r="5" spans="1:8" x14ac:dyDescent="0.25">
      <c r="A5" s="26" t="str">
        <f>'Catalogue Enrichi'!C5</f>
        <v>Professional Scrum Product Owner I</v>
      </c>
      <c r="B5" s="27" t="str">
        <f>'Catalogue Enrichi'!D5</f>
        <v>PSPO-I</v>
      </c>
      <c r="C5" s="32" t="str">
        <f>'Catalogue Enrichi'!N5</f>
        <v>Senior</v>
      </c>
      <c r="D5" s="31" t="str">
        <f>'Catalogue Enrichi'!K5</f>
        <v>RECOMMANDE</v>
      </c>
      <c r="E5" s="27" t="str">
        <f>CONCATENATE('Catalogue Enrichi'!G5,"  MAD")</f>
        <v>2000  MAD</v>
      </c>
      <c r="F5" s="27">
        <f>'Catalogue Enrichi'!L5</f>
        <v>40</v>
      </c>
      <c r="G5" s="28" t="str">
        <f>HYPERLINK("https://devoteamlearning.udemy.com/course/product-owner-course/","Udemy")</f>
        <v>Udemy</v>
      </c>
      <c r="H5" s="28" t="str">
        <f>HYPERLINK("https://www.scrum.org/assessments/professional-scrum-product-owner-i-certification","Officiel")</f>
        <v>Officiel</v>
      </c>
    </row>
    <row r="6" spans="1:8" x14ac:dyDescent="0.25">
      <c r="A6" s="26" t="str">
        <f>'Catalogue Enrichi'!C6</f>
        <v>SAFe 6 Agilist</v>
      </c>
      <c r="B6" s="27" t="str">
        <f>'Catalogue Enrichi'!D6</f>
        <v>SA</v>
      </c>
      <c r="C6" s="33" t="str">
        <f>'Catalogue Enrichi'!N6</f>
        <v>Lead</v>
      </c>
      <c r="D6" s="31" t="str">
        <f>'Catalogue Enrichi'!K6</f>
        <v>RECOMMANDE</v>
      </c>
      <c r="E6" s="27" t="str">
        <f>CONCATENATE('Catalogue Enrichi'!G6,"  MAD")</f>
        <v>9950  MAD</v>
      </c>
      <c r="F6" s="27">
        <f>'Catalogue Enrichi'!L6</f>
        <v>16</v>
      </c>
      <c r="G6" s="28" t="str">
        <f>HYPERLINK("https://devoteamlearning.udemy.com/course/safe-agilist-6-leading-safe/","Udemy")</f>
        <v>Udemy</v>
      </c>
      <c r="H6" s="28" t="str">
        <f>HYPERLINK("https://scaledagile.com/training/leading-safe/","Officiel")</f>
        <v>Officiel</v>
      </c>
    </row>
    <row r="7" spans="1:8" x14ac:dyDescent="0.25">
      <c r="A7" s="26" t="str">
        <f>'Catalogue Enrichi'!C7</f>
        <v>SAFe Release Train Engineer</v>
      </c>
      <c r="B7" s="27" t="str">
        <f>'Catalogue Enrichi'!D7</f>
        <v>RTE</v>
      </c>
      <c r="C7" s="35" t="str">
        <f>'Catalogue Enrichi'!N7</f>
        <v>Expert</v>
      </c>
      <c r="D7" s="34" t="str">
        <f>'Catalogue Enrichi'!K7</f>
        <v>OPTIONNEL</v>
      </c>
      <c r="E7" s="27" t="str">
        <f>CONCATENATE('Catalogue Enrichi'!G7,"  MAD")</f>
        <v>12950  MAD</v>
      </c>
      <c r="F7" s="27">
        <f>'Catalogue Enrichi'!L7</f>
        <v>24</v>
      </c>
      <c r="G7" s="28" t="str">
        <f>HYPERLINK("https://devoteamlearning.udemy.com/course/master-safe-60-release-train-engineer-safe-rte-essentials/","Udemy")</f>
        <v>Udemy</v>
      </c>
      <c r="H7" s="28" t="str">
        <f>HYPERLINK("https://scaledagile.com/training/safe-release-train-engineer/","Officiel")</f>
        <v>Officiel</v>
      </c>
    </row>
    <row r="8" spans="1:8" x14ac:dyDescent="0.25">
      <c r="A8" s="26" t="str">
        <f>'Catalogue Enrichi'!C8</f>
        <v>Professional Agile Leadership</v>
      </c>
      <c r="B8" s="27" t="str">
        <f>'Catalogue Enrichi'!D8</f>
        <v>PAL-I</v>
      </c>
      <c r="C8" s="36" t="str">
        <f>'Catalogue Enrichi'!N8</f>
        <v>Manager</v>
      </c>
      <c r="D8" s="34" t="str">
        <f>'Catalogue Enrichi'!K8</f>
        <v>OPTIONNEL</v>
      </c>
      <c r="E8" s="27" t="str">
        <f>CONCATENATE('Catalogue Enrichi'!G8,"  MAD")</f>
        <v>2000  MAD</v>
      </c>
      <c r="F8" s="27">
        <f>'Catalogue Enrichi'!L8</f>
        <v>16</v>
      </c>
      <c r="G8" s="28" t="str">
        <f>HYPERLINK("https://devoteamlearning.udemy.com/course/the-ultimate-agile-leader-certification-training/","Udemy")</f>
        <v>Udemy</v>
      </c>
      <c r="H8" s="28" t="str">
        <f>HYPERLINK("https://www.scrum.org/assessments/professional-agile-leadership-certification","Officiel")</f>
        <v>Officiel</v>
      </c>
    </row>
    <row r="9" spans="1:8" x14ac:dyDescent="0.25">
      <c r="A9" s="26" t="str">
        <f>'Catalogue Enrichi'!C9</f>
        <v>ITIL 4 Foundation</v>
      </c>
      <c r="B9" s="27" t="str">
        <f>'Catalogue Enrichi'!D9</f>
        <v>ITIL4-F</v>
      </c>
      <c r="C9" s="32" t="str">
        <f>'Catalogue Enrichi'!N9</f>
        <v>Senior</v>
      </c>
      <c r="D9" s="31" t="str">
        <f>'Catalogue Enrichi'!K9</f>
        <v>RECOMMANDE</v>
      </c>
      <c r="E9" s="27" t="str">
        <f>CONCATENATE('Catalogue Enrichi'!G9,"  MAD")</f>
        <v>3830  MAD</v>
      </c>
      <c r="F9" s="27">
        <f>'Catalogue Enrichi'!L9</f>
        <v>20</v>
      </c>
      <c r="G9" s="28" t="str">
        <f>HYPERLINK("https://devoteamlearning.udemy.com/course/service-management-itil-4/","Udemy")</f>
        <v>Udemy</v>
      </c>
      <c r="H9" s="28" t="str">
        <f>HYPERLINK("https://www.axelos.com/certifications/itil-service-management/itil-4-foundation","Officiel")</f>
        <v>Officiel</v>
      </c>
    </row>
    <row r="10" spans="1:8" x14ac:dyDescent="0.25">
      <c r="A10" s="26" t="str">
        <f>'Catalogue Enrichi'!C29</f>
        <v>AWS Solutions Architect Associate</v>
      </c>
      <c r="B10" s="27" t="str">
        <f>'Catalogue Enrichi'!D29</f>
        <v>SAA-C03</v>
      </c>
      <c r="C10" s="32" t="str">
        <f>'Catalogue Enrichi'!N29</f>
        <v>Senior</v>
      </c>
      <c r="D10" s="31" t="str">
        <f>'Catalogue Enrichi'!K29</f>
        <v>RECOMMANDE</v>
      </c>
      <c r="E10" s="27" t="str">
        <f>CONCATENATE('Catalogue Enrichi'!G29,"  MAD")</f>
        <v>1500  MAD</v>
      </c>
      <c r="F10" s="27">
        <f>'Catalogue Enrichi'!L29</f>
        <v>60</v>
      </c>
      <c r="G10" s="28" t="str">
        <f>HYPERLINK("https://devoteamlearning.udemy.com/course/aws-certified-solutions-architect-associate-saa-c03/","Udemy")</f>
        <v>Udemy</v>
      </c>
      <c r="H10" s="28" t="str">
        <f>HYPERLINK("https://aws.amazon.com/certification/certified-solutions-architect-associate/","Officiel")</f>
        <v>Officiel</v>
      </c>
    </row>
    <row r="11" spans="1:8" x14ac:dyDescent="0.25">
      <c r="A11" s="26" t="str">
        <f>'Catalogue Enrichi'!C33</f>
        <v>TOGAF 10 Enterprise Architecture Foundation</v>
      </c>
      <c r="B11" s="27" t="str">
        <f>'Catalogue Enrichi'!D33</f>
        <v>TOGAF-10</v>
      </c>
      <c r="C11" s="35" t="str">
        <f>'Catalogue Enrichi'!N33</f>
        <v>Expert</v>
      </c>
      <c r="D11" s="34" t="str">
        <f>'Catalogue Enrichi'!K33</f>
        <v>OPTIONNEL</v>
      </c>
      <c r="E11" s="27" t="str">
        <f>CONCATENATE('Catalogue Enrichi'!G33,"  MAD")</f>
        <v>5950  MAD</v>
      </c>
      <c r="F11" s="27">
        <f>'Catalogue Enrichi'!L33</f>
        <v>80</v>
      </c>
      <c r="G11" s="28" t="str">
        <f>HYPERLINK("http://devoteamlearning.udemy.com/course/togaf-10-ea-foundation/","Udemy")</f>
        <v>Udemy</v>
      </c>
      <c r="H11" s="28" t="str">
        <f>HYPERLINK("https://www.opengroup.org/certifications/togaf","Officiel")</f>
        <v>Officiel</v>
      </c>
    </row>
    <row r="12" spans="1:8" x14ac:dyDescent="0.25">
      <c r="A12" s="26" t="str">
        <f>'Catalogue Enrichi'!C34</f>
        <v>Microsoft Azure AI Fundamentals</v>
      </c>
      <c r="B12" s="27" t="str">
        <f>'Catalogue Enrichi'!D34</f>
        <v>AI-900</v>
      </c>
      <c r="C12" s="30" t="str">
        <f>'Catalogue Enrichi'!N34</f>
        <v>Junior</v>
      </c>
      <c r="D12" s="31" t="str">
        <f>'Catalogue Enrichi'!K34</f>
        <v>RECOMMANDE</v>
      </c>
      <c r="E12" s="27" t="str">
        <f>CONCATENATE('Catalogue Enrichi'!G34,"  MAD")</f>
        <v>990  MAD</v>
      </c>
      <c r="F12" s="27">
        <f>'Catalogue Enrichi'!L34</f>
        <v>20</v>
      </c>
      <c r="G12" s="28" t="str">
        <f>HYPERLINK("https://devoteamlearning.udemy.com/course/ai900-azure/","Udemy")</f>
        <v>Udemy</v>
      </c>
      <c r="H12" s="28" t="str">
        <f>HYPERLINK("https://learn.microsoft.com/certifications/azure-ai-fundamentals/","Officiel")</f>
        <v>Officiel</v>
      </c>
    </row>
    <row r="13" spans="1:8" x14ac:dyDescent="0.25">
      <c r="A13" s="26" t="str">
        <f>'Catalogue Enrichi'!C35</f>
        <v>Microsoft Azure AI Engineer Associate</v>
      </c>
      <c r="B13" s="27" t="str">
        <f>'Catalogue Enrichi'!D35</f>
        <v>AI-102</v>
      </c>
      <c r="C13" s="32" t="str">
        <f>'Catalogue Enrichi'!N35</f>
        <v>Senior</v>
      </c>
      <c r="D13" s="31" t="str">
        <f>'Catalogue Enrichi'!K35</f>
        <v>RECOMMANDE</v>
      </c>
      <c r="E13" s="27" t="str">
        <f>CONCATENATE('Catalogue Enrichi'!G35,"  MAD")</f>
        <v>1650  MAD</v>
      </c>
      <c r="F13" s="27">
        <f>'Catalogue Enrichi'!L35</f>
        <v>60</v>
      </c>
      <c r="G13" s="28" t="str">
        <f>HYPERLINK("https://devoteamlearning.udemy.com/course/ai102-azure/","Udemy")</f>
        <v>Udemy</v>
      </c>
      <c r="H13" s="28" t="str">
        <f>HYPERLINK("https://learn.microsoft.com/certifications/azure-ai-engineer/","Officiel")</f>
        <v>Officiel</v>
      </c>
    </row>
    <row r="14" spans="1:8" x14ac:dyDescent="0.25">
      <c r="A14" s="26" t="str">
        <f>'Catalogue Enrichi'!C36</f>
        <v>CompTIA Security+</v>
      </c>
      <c r="B14" s="27" t="str">
        <f>'Catalogue Enrichi'!D36</f>
        <v>SY0-701</v>
      </c>
      <c r="C14" s="30" t="str">
        <f>'Catalogue Enrichi'!N36</f>
        <v>Junior</v>
      </c>
      <c r="D14" s="34" t="str">
        <f>'Catalogue Enrichi'!K36</f>
        <v>OPTIONNEL</v>
      </c>
      <c r="E14" s="27" t="str">
        <f>CONCATENATE('Catalogue Enrichi'!G36,"  MAD")</f>
        <v>4250  MAD</v>
      </c>
      <c r="F14" s="27">
        <f>'Catalogue Enrichi'!L36</f>
        <v>50</v>
      </c>
      <c r="G14" s="28" t="str">
        <f>HYPERLINK("https://devoteamlearning.udemy.com/course/securityplus/","Udemy")</f>
        <v>Udemy</v>
      </c>
      <c r="H14" s="28" t="str">
        <f>HYPERLINK("https://www.comptia.org/certifications/security","Officiel")</f>
        <v>Officiel</v>
      </c>
    </row>
    <row r="15" spans="1:8" x14ac:dyDescent="0.25">
      <c r="A15" s="26" t="str">
        <f>'Catalogue Enrichi'!C37</f>
        <v>Certified Ethical Hacker</v>
      </c>
      <c r="B15" s="27" t="str">
        <f>'Catalogue Enrichi'!D37</f>
        <v>CEH</v>
      </c>
      <c r="C15" s="33" t="str">
        <f>'Catalogue Enrichi'!N37</f>
        <v>Lead</v>
      </c>
      <c r="D15" s="34" t="str">
        <f>'Catalogue Enrichi'!K37</f>
        <v>OPTIONNEL</v>
      </c>
      <c r="E15" s="27" t="str">
        <f>CONCATENATE('Catalogue Enrichi'!G37,"  MAD")</f>
        <v>9500  MAD</v>
      </c>
      <c r="F15" s="27">
        <f>'Catalogue Enrichi'!L37</f>
        <v>100</v>
      </c>
      <c r="G15" s="28" t="str">
        <f>HYPERLINK("https://devoteamlearning.udemy.com/course/ceh-practical-complete-course-exam/","Udemy")</f>
        <v>Udemy</v>
      </c>
      <c r="H15" s="28" t="str">
        <f>HYPERLINK("https://www.eccouncil.org/programs/certified-ethical-hacker-ceh/","Officiel")</f>
        <v>Officiel</v>
      </c>
    </row>
    <row r="16" spans="1:8" x14ac:dyDescent="0.25">
      <c r="A16" s="26" t="str">
        <f>'Catalogue Enrichi'!C38</f>
        <v>Project Management Professional</v>
      </c>
      <c r="B16" s="27" t="str">
        <f>'Catalogue Enrichi'!D38</f>
        <v>PMP</v>
      </c>
      <c r="C16" s="36" t="str">
        <f>'Catalogue Enrichi'!N38</f>
        <v>Manager</v>
      </c>
      <c r="D16" s="34" t="str">
        <f>'Catalogue Enrichi'!K38</f>
        <v>OPTIONNEL</v>
      </c>
      <c r="E16" s="27" t="str">
        <f>CONCATENATE('Catalogue Enrichi'!G38,"  MAD")</f>
        <v>5550  MAD</v>
      </c>
      <c r="F16" s="27">
        <f>'Catalogue Enrichi'!L38</f>
        <v>100</v>
      </c>
      <c r="G16" s="28" t="str">
        <f>HYPERLINK("https://devoteamlearning.udemy.com/course/pmp-certification-exam-prep-course-pmbok-6th-edition/","Udemy")</f>
        <v>Udemy</v>
      </c>
      <c r="H16" s="28" t="str">
        <f>HYPERLINK("https://www.pmi.org/certifications/project-management-pmp","Officiel")</f>
        <v>Officiel</v>
      </c>
    </row>
    <row r="17" spans="1:8" x14ac:dyDescent="0.25">
      <c r="A17" s="26" t="str">
        <f>'Catalogue Enrichi'!C39</f>
        <v>Prince2 Practitioner</v>
      </c>
      <c r="B17" s="27" t="str">
        <f>'Catalogue Enrichi'!D39</f>
        <v>PRINCE2-P</v>
      </c>
      <c r="C17" s="36" t="str">
        <f>'Catalogue Enrichi'!N39</f>
        <v>Manager</v>
      </c>
      <c r="D17" s="34" t="str">
        <f>'Catalogue Enrichi'!K39</f>
        <v>OPTIONNEL</v>
      </c>
      <c r="E17" s="27" t="str">
        <f>CONCATENATE('Catalogue Enrichi'!G39,"  MAD")</f>
        <v>4000  MAD</v>
      </c>
      <c r="F17" s="27">
        <f>'Catalogue Enrichi'!L39</f>
        <v>40</v>
      </c>
      <c r="G17" s="28" t="str">
        <f>HYPERLINK("https://devoteamlearning.udemy.com/course/intro-project-management/","Udemy")</f>
        <v>Udemy</v>
      </c>
      <c r="H17" s="28" t="str">
        <f>HYPERLINK("https://www.axelos.com/certifications/propath/prince2-project-management/prince2-practitioner","Officiel")</f>
        <v>Officiel</v>
      </c>
    </row>
    <row r="18" spans="1:8" x14ac:dyDescent="0.25">
      <c r="A18" s="26" t="str">
        <f>'Catalogue Enrichi'!C40</f>
        <v>Certified ScrumMaster</v>
      </c>
      <c r="B18" s="27" t="str">
        <f>'Catalogue Enrichi'!D40</f>
        <v>CSM</v>
      </c>
      <c r="C18" s="36" t="str">
        <f>'Catalogue Enrichi'!N40</f>
        <v>Manager</v>
      </c>
      <c r="D18" s="31" t="str">
        <f>'Catalogue Enrichi'!K40</f>
        <v>RECOMMANDE</v>
      </c>
      <c r="E18" s="27" t="str">
        <f>CONCATENATE('Catalogue Enrichi'!G40,"  MAD")</f>
        <v>9950  MAD</v>
      </c>
      <c r="F18" s="27">
        <f>'Catalogue Enrichi'!L40</f>
        <v>16</v>
      </c>
      <c r="G18" s="28" t="str">
        <f>HYPERLINK("https://devoteamlearning.udemy.com/course/scrumrealworld/","Udemy")</f>
        <v>Udemy</v>
      </c>
      <c r="H18" s="28" t="str">
        <f>HYPERLINK("https://www.scrumalliance.org/get-certified/scrum-master-track/certified-scrummaster","Officiel")</f>
        <v>Officiel</v>
      </c>
    </row>
    <row r="19" spans="1:8" x14ac:dyDescent="0.25">
      <c r="A19" s="26" t="str">
        <f>'Catalogue Enrichi'!C41</f>
        <v>Databricks Certified Data Engineer Associate</v>
      </c>
      <c r="B19" s="27" t="str">
        <f>'Catalogue Enrichi'!D41</f>
        <v>DCEA</v>
      </c>
      <c r="C19" s="30" t="str">
        <f>'Catalogue Enrichi'!N41</f>
        <v>Junior</v>
      </c>
      <c r="D19" s="29" t="str">
        <f>'Catalogue Enrichi'!K41</f>
        <v>OBLIGATOIRE</v>
      </c>
      <c r="E19" s="27" t="str">
        <f>CONCATENATE('Catalogue Enrichi'!G41,"  MAD")</f>
        <v>2000  MAD</v>
      </c>
      <c r="F19" s="27">
        <f>'Catalogue Enrichi'!L41</f>
        <v>60</v>
      </c>
      <c r="G19" s="28" t="str">
        <f>HYPERLINK("https://devoteamlearning.udemy.com/course/databricks-certified-data-engineer-associate/","Udemy")</f>
        <v>Udemy</v>
      </c>
      <c r="H19" s="28" t="str">
        <f>HYPERLINK("https://www.databricks.com/learn/certification/data-engineer-associate","Officiel")</f>
        <v>Officiel</v>
      </c>
    </row>
    <row r="20" spans="1:8" x14ac:dyDescent="0.25">
      <c r="A20" s="26" t="str">
        <f>'Catalogue Enrichi'!C42</f>
        <v>Confluent Certified Developer for Apache Kafka</v>
      </c>
      <c r="B20" s="27" t="str">
        <f>'Catalogue Enrichi'!D42</f>
        <v>CCDAK</v>
      </c>
      <c r="C20" s="30" t="str">
        <f>'Catalogue Enrichi'!N42</f>
        <v>Junior</v>
      </c>
      <c r="D20" s="29" t="str">
        <f>'Catalogue Enrichi'!K42</f>
        <v>OBLIGATOIRE</v>
      </c>
      <c r="E20" s="27" t="str">
        <f>CONCATENATE('Catalogue Enrichi'!G42,"  MAD")</f>
        <v>1500  MAD</v>
      </c>
      <c r="F20" s="27">
        <f>'Catalogue Enrichi'!L42</f>
        <v>50</v>
      </c>
      <c r="G20" s="28" t="str">
        <f>HYPERLINK("https://devoteamlearning.udemy.com/course/apache-kafka/","Udemy")</f>
        <v>Udemy</v>
      </c>
      <c r="H20" s="28" t="str">
        <f>HYPERLINK("https://www.confluent.io/certification/","Officiel")</f>
        <v>Officiel</v>
      </c>
    </row>
    <row r="21" spans="1:8" x14ac:dyDescent="0.25">
      <c r="A21" s="26" t="str">
        <f>'Catalogue Enrichi'!C43</f>
        <v>Confluent Certified Administrator for Apache Kafka</v>
      </c>
      <c r="B21" s="27" t="str">
        <f>'Catalogue Enrichi'!D43</f>
        <v>CCAAK</v>
      </c>
      <c r="C21" s="30" t="str">
        <f>'Catalogue Enrichi'!N43</f>
        <v>Junior</v>
      </c>
      <c r="D21" s="29" t="str">
        <f>'Catalogue Enrichi'!K43</f>
        <v>OBLIGATOIRE</v>
      </c>
      <c r="E21" s="27" t="str">
        <f>CONCATENATE('Catalogue Enrichi'!G43,"  MAD")</f>
        <v>1500  MAD</v>
      </c>
      <c r="F21" s="27">
        <f>'Catalogue Enrichi'!L43</f>
        <v>45</v>
      </c>
      <c r="G21" s="28" t="str">
        <f>HYPERLINK("https://devoteamlearning.udemy.com/course/apache-kafka/","Udemy")</f>
        <v>Udemy</v>
      </c>
      <c r="H21" s="28" t="str">
        <f>HYPERLINK("https://www.confluent.io/certification/","Officiel")</f>
        <v>Officiel</v>
      </c>
    </row>
    <row r="22" spans="1:8" x14ac:dyDescent="0.25">
      <c r="A22" s="26" t="str">
        <f>'Catalogue Enrichi'!C44</f>
        <v>Cloudera Data Platform Generalist</v>
      </c>
      <c r="B22" s="27" t="str">
        <f>'Catalogue Enrichi'!D44</f>
        <v>CDP-0011</v>
      </c>
      <c r="C22" s="30" t="str">
        <f>'Catalogue Enrichi'!N44</f>
        <v>Junior</v>
      </c>
      <c r="D22" s="29" t="str">
        <f>'Catalogue Enrichi'!K44</f>
        <v>OBLIGATOIRE</v>
      </c>
      <c r="E22" s="27" t="str">
        <f>CONCATENATE('Catalogue Enrichi'!G44,"  MAD")</f>
        <v>2950  MAD</v>
      </c>
      <c r="F22" s="27">
        <f>'Catalogue Enrichi'!L44</f>
        <v>80</v>
      </c>
      <c r="G22" s="28" t="str">
        <f>HYPERLINK("https://devoteamlearning.udemy.com/course/cloudera-hadoop-training/","Udemy")</f>
        <v>Udemy</v>
      </c>
      <c r="H22" s="28" t="str">
        <f>HYPERLINK("https://www.cloudera.com/about/training/certification.html","Officiel")</f>
        <v>Officiel</v>
      </c>
    </row>
    <row r="23" spans="1:8" x14ac:dyDescent="0.25">
      <c r="A23" s="26" t="str">
        <f>'Catalogue Enrichi'!C45</f>
        <v>Cloudera Administrator on premises</v>
      </c>
      <c r="B23" s="27" t="str">
        <f>'Catalogue Enrichi'!D45</f>
        <v>CAOP</v>
      </c>
      <c r="C23" s="32" t="str">
        <f>'Catalogue Enrichi'!N45</f>
        <v>Senior</v>
      </c>
      <c r="D23" s="29" t="str">
        <f>'Catalogue Enrichi'!K45</f>
        <v>OBLIGATOIRE</v>
      </c>
      <c r="E23" s="27" t="str">
        <f>CONCATENATE('Catalogue Enrichi'!G45,"  MAD")</f>
        <v>2950  MAD</v>
      </c>
      <c r="F23" s="27">
        <f>'Catalogue Enrichi'!L45</f>
        <v>70</v>
      </c>
      <c r="G23" s="28" t="str">
        <f>HYPERLINK("https://devoteamlearning.udemy.com/course/cloudera-hadoop-training/","Udemy")</f>
        <v>Udemy</v>
      </c>
      <c r="H23" s="28" t="str">
        <f>HYPERLINK("https://www.cloudera.com/about/training/certification.html","Officiel")</f>
        <v>Officiel</v>
      </c>
    </row>
    <row r="24" spans="1:8" x14ac:dyDescent="0.25">
      <c r="A24" s="26" t="str">
        <f>'Catalogue Enrichi'!C46</f>
        <v>Cloudera Data Engineer</v>
      </c>
      <c r="B24" s="27" t="str">
        <f>'Catalogue Enrichi'!D46</f>
        <v>CDE</v>
      </c>
      <c r="C24" s="33" t="str">
        <f>'Catalogue Enrichi'!N46</f>
        <v>Lead</v>
      </c>
      <c r="D24" s="29" t="str">
        <f>'Catalogue Enrichi'!K46</f>
        <v>OBLIGATOIRE</v>
      </c>
      <c r="E24" s="27" t="str">
        <f>CONCATENATE('Catalogue Enrichi'!G46,"  MAD")</f>
        <v>4000  MAD</v>
      </c>
      <c r="F24" s="27">
        <f>'Catalogue Enrichi'!L46</f>
        <v>90</v>
      </c>
      <c r="G24" s="28" t="str">
        <f>HYPERLINK("https://devoteamlearning.udemy.com/course/cloudera-hadoop-training/","Udemy")</f>
        <v>Udemy</v>
      </c>
      <c r="H24" s="28" t="str">
        <f>HYPERLINK("https://www.cloudera.com/about/training/certification.html","Officiel")</f>
        <v>Officiel</v>
      </c>
    </row>
    <row r="25" spans="1:8" x14ac:dyDescent="0.25">
      <c r="A25" s="26" t="str">
        <f>'Catalogue Enrichi'!C47</f>
        <v>AWS Certified Data Engineer – Associate</v>
      </c>
      <c r="B25" s="27" t="str">
        <f>'Catalogue Enrichi'!D47</f>
        <v>DAS-C01</v>
      </c>
      <c r="C25" s="33" t="str">
        <f>'Catalogue Enrichi'!N47</f>
        <v>Lead</v>
      </c>
      <c r="D25" s="31" t="str">
        <f>'Catalogue Enrichi'!K47</f>
        <v>RECOMMANDE</v>
      </c>
      <c r="E25" s="27" t="str">
        <f>CONCATENATE('Catalogue Enrichi'!G47,"  MAD")</f>
        <v>1500  MAD</v>
      </c>
      <c r="F25" s="27">
        <f>'Catalogue Enrichi'!L47</f>
        <v>80</v>
      </c>
      <c r="G25" s="28" t="str">
        <f>HYPERLINK("https://devoteamlearning.udemy.com/course/aws-data-analytics/","Udemy")</f>
        <v>Udemy</v>
      </c>
      <c r="H25" s="28" t="str">
        <f>HYPERLINK("https://aws.amazon.com/certification/certified-data-engineer-associate/","Officiel")</f>
        <v>Officiel</v>
      </c>
    </row>
    <row r="26" spans="1:8" x14ac:dyDescent="0.25">
      <c r="A26" s="26" t="str">
        <f>'Catalogue Enrichi'!C48</f>
        <v>Azure Data Engineer Associate</v>
      </c>
      <c r="B26" s="27" t="str">
        <f>'Catalogue Enrichi'!D48</f>
        <v>DP-203</v>
      </c>
      <c r="C26" s="32" t="str">
        <f>'Catalogue Enrichi'!N48</f>
        <v>Senior</v>
      </c>
      <c r="D26" s="34" t="str">
        <f>'Catalogue Enrichi'!K48</f>
        <v>OPTIONNEL</v>
      </c>
      <c r="E26" s="27" t="str">
        <f>CONCATENATE('Catalogue Enrichi'!G48,"  MAD")</f>
        <v>1650  MAD</v>
      </c>
      <c r="F26" s="27">
        <f>'Catalogue Enrichi'!L48</f>
        <v>70</v>
      </c>
      <c r="G26" s="28" t="str">
        <f>HYPERLINK("https://devoteamlearning.udemy.com/course/data-engineering-on-microsoft-azure/","Udemy")</f>
        <v>Udemy</v>
      </c>
      <c r="H26" s="28" t="str">
        <f>HYPERLINK("https://learn.microsoft.com/certifications/azure-data-engineer/","Officiel")</f>
        <v>Officiel</v>
      </c>
    </row>
  </sheetData>
  <mergeCells count="1">
    <mergeCell ref="A1:H1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7"/>
  <dimension ref="A1:H25"/>
  <sheetViews>
    <sheetView workbookViewId="0">
      <selection activeCell="G6" sqref="G6"/>
    </sheetView>
  </sheetViews>
  <sheetFormatPr baseColWidth="10" defaultColWidth="8.85546875" defaultRowHeight="15" x14ac:dyDescent="0.25"/>
  <cols>
    <col min="1" max="1" width="50" customWidth="1"/>
    <col min="2" max="2" width="15" customWidth="1"/>
    <col min="3" max="3" width="12" customWidth="1"/>
    <col min="4" max="4" width="15" customWidth="1"/>
    <col min="5" max="5" width="12" customWidth="1"/>
    <col min="6" max="6" width="10" customWidth="1"/>
    <col min="7" max="8" width="20" customWidth="1"/>
  </cols>
  <sheetData>
    <row r="1" spans="1:8" ht="21" customHeight="1" x14ac:dyDescent="0.25">
      <c r="A1" s="42" t="s">
        <v>237</v>
      </c>
      <c r="B1" s="38"/>
      <c r="C1" s="38"/>
      <c r="D1" s="38"/>
      <c r="E1" s="38"/>
      <c r="F1" s="38"/>
      <c r="G1" s="38"/>
      <c r="H1" s="38"/>
    </row>
    <row r="3" spans="1:8" x14ac:dyDescent="0.25">
      <c r="A3" s="15" t="s">
        <v>39</v>
      </c>
      <c r="B3" s="15" t="s">
        <v>40</v>
      </c>
      <c r="C3" s="15" t="s">
        <v>178</v>
      </c>
      <c r="D3" s="15" t="s">
        <v>176</v>
      </c>
      <c r="E3" s="15" t="s">
        <v>233</v>
      </c>
      <c r="F3" s="15" t="s">
        <v>42</v>
      </c>
      <c r="G3" s="15" t="s">
        <v>173</v>
      </c>
      <c r="H3" s="15" t="s">
        <v>174</v>
      </c>
    </row>
    <row r="4" spans="1:8" x14ac:dyDescent="0.25">
      <c r="A4" s="26" t="str">
        <f>'Catalogue Enrichi'!C4</f>
        <v>Professional Scrum Master I</v>
      </c>
      <c r="B4" s="27" t="str">
        <f>'Catalogue Enrichi'!D4</f>
        <v>PSM-I</v>
      </c>
      <c r="C4" s="30" t="str">
        <f>'Catalogue Enrichi'!N4</f>
        <v>Junior</v>
      </c>
      <c r="D4" s="29" t="str">
        <f>'Catalogue Enrichi'!K4</f>
        <v>OBLIGATOIRE</v>
      </c>
      <c r="E4" s="27" t="str">
        <f>CONCATENATE('Catalogue Enrichi'!G4,"  MAD")</f>
        <v>2000  MAD</v>
      </c>
      <c r="F4" s="27">
        <f>'Catalogue Enrichi'!L4</f>
        <v>40</v>
      </c>
      <c r="G4" s="28" t="str">
        <f>HYPERLINK("https://devoteamlearning.udemy.com/course/complete-agile-scrum-master-training-exam-simulator/","Udemy")</f>
        <v>Udemy</v>
      </c>
      <c r="H4" s="28" t="str">
        <f>HYPERLINK("https://www.scrum.org/assessments/professional-scrum-master-i-certification","Officiel")</f>
        <v>Officiel</v>
      </c>
    </row>
    <row r="5" spans="1:8" x14ac:dyDescent="0.25">
      <c r="A5" s="26" t="str">
        <f>'Catalogue Enrichi'!C5</f>
        <v>Professional Scrum Product Owner I</v>
      </c>
      <c r="B5" s="27" t="str">
        <f>'Catalogue Enrichi'!D5</f>
        <v>PSPO-I</v>
      </c>
      <c r="C5" s="32" t="str">
        <f>'Catalogue Enrichi'!N5</f>
        <v>Senior</v>
      </c>
      <c r="D5" s="31" t="str">
        <f>'Catalogue Enrichi'!K5</f>
        <v>RECOMMANDE</v>
      </c>
      <c r="E5" s="27" t="str">
        <f>CONCATENATE('Catalogue Enrichi'!G5,"  MAD")</f>
        <v>2000  MAD</v>
      </c>
      <c r="F5" s="27">
        <f>'Catalogue Enrichi'!L5</f>
        <v>40</v>
      </c>
      <c r="G5" s="28" t="str">
        <f>HYPERLINK("https://devoteamlearning.udemy.com/course/product-owner-course/","Udemy")</f>
        <v>Udemy</v>
      </c>
      <c r="H5" s="28" t="str">
        <f>HYPERLINK("https://www.scrum.org/assessments/professional-scrum-product-owner-i-certification","Officiel")</f>
        <v>Officiel</v>
      </c>
    </row>
    <row r="6" spans="1:8" x14ac:dyDescent="0.25">
      <c r="A6" s="26" t="str">
        <f>'Catalogue Enrichi'!C6</f>
        <v>SAFe 6 Agilist</v>
      </c>
      <c r="B6" s="27" t="str">
        <f>'Catalogue Enrichi'!D6</f>
        <v>SA</v>
      </c>
      <c r="C6" s="33" t="str">
        <f>'Catalogue Enrichi'!N6</f>
        <v>Lead</v>
      </c>
      <c r="D6" s="31" t="str">
        <f>'Catalogue Enrichi'!K6</f>
        <v>RECOMMANDE</v>
      </c>
      <c r="E6" s="27" t="str">
        <f>CONCATENATE('Catalogue Enrichi'!G6,"  MAD")</f>
        <v>9950  MAD</v>
      </c>
      <c r="F6" s="27">
        <f>'Catalogue Enrichi'!L6</f>
        <v>16</v>
      </c>
      <c r="G6" s="28" t="str">
        <f>HYPERLINK("https://devoteamlearning.udemy.com/course/safe-agilist-6-leading-safe/","Udemy")</f>
        <v>Udemy</v>
      </c>
      <c r="H6" s="28" t="str">
        <f>HYPERLINK("https://scaledagile.com/training/leading-safe/","Officiel")</f>
        <v>Officiel</v>
      </c>
    </row>
    <row r="7" spans="1:8" x14ac:dyDescent="0.25">
      <c r="A7" s="26" t="str">
        <f>'Catalogue Enrichi'!C7</f>
        <v>SAFe Release Train Engineer</v>
      </c>
      <c r="B7" s="27" t="str">
        <f>'Catalogue Enrichi'!D7</f>
        <v>RTE</v>
      </c>
      <c r="C7" s="35" t="str">
        <f>'Catalogue Enrichi'!N7</f>
        <v>Expert</v>
      </c>
      <c r="D7" s="34" t="str">
        <f>'Catalogue Enrichi'!K7</f>
        <v>OPTIONNEL</v>
      </c>
      <c r="E7" s="27" t="str">
        <f>CONCATENATE('Catalogue Enrichi'!G7,"  MAD")</f>
        <v>12950  MAD</v>
      </c>
      <c r="F7" s="27">
        <f>'Catalogue Enrichi'!L7</f>
        <v>24</v>
      </c>
      <c r="G7" s="28" t="str">
        <f>HYPERLINK("https://devoteamlearning.udemy.com/course/master-safe-60-release-train-engineer-safe-rte-essentials/","Udemy")</f>
        <v>Udemy</v>
      </c>
      <c r="H7" s="28" t="str">
        <f>HYPERLINK("https://scaledagile.com/training/safe-release-train-engineer/","Officiel")</f>
        <v>Officiel</v>
      </c>
    </row>
    <row r="8" spans="1:8" x14ac:dyDescent="0.25">
      <c r="A8" s="26" t="str">
        <f>'Catalogue Enrichi'!C8</f>
        <v>Professional Agile Leadership</v>
      </c>
      <c r="B8" s="27" t="str">
        <f>'Catalogue Enrichi'!D8</f>
        <v>PAL-I</v>
      </c>
      <c r="C8" s="36" t="str">
        <f>'Catalogue Enrichi'!N8</f>
        <v>Manager</v>
      </c>
      <c r="D8" s="34" t="str">
        <f>'Catalogue Enrichi'!K8</f>
        <v>OPTIONNEL</v>
      </c>
      <c r="E8" s="27" t="str">
        <f>CONCATENATE('Catalogue Enrichi'!G8,"  MAD")</f>
        <v>2000  MAD</v>
      </c>
      <c r="F8" s="27">
        <f>'Catalogue Enrichi'!L8</f>
        <v>16</v>
      </c>
      <c r="G8" s="28" t="str">
        <f>HYPERLINK("https://devoteamlearning.udemy.com/course/the-ultimate-agile-leader-certification-training/","Udemy")</f>
        <v>Udemy</v>
      </c>
      <c r="H8" s="28" t="str">
        <f>HYPERLINK("https://www.scrum.org/assessments/professional-agile-leadership-certification","Officiel")</f>
        <v>Officiel</v>
      </c>
    </row>
    <row r="9" spans="1:8" x14ac:dyDescent="0.25">
      <c r="A9" s="26" t="str">
        <f>'Catalogue Enrichi'!C9</f>
        <v>ITIL 4 Foundation</v>
      </c>
      <c r="B9" s="27" t="str">
        <f>'Catalogue Enrichi'!D9</f>
        <v>ITIL4-F</v>
      </c>
      <c r="C9" s="32" t="str">
        <f>'Catalogue Enrichi'!N9</f>
        <v>Senior</v>
      </c>
      <c r="D9" s="31" t="str">
        <f>'Catalogue Enrichi'!K9</f>
        <v>RECOMMANDE</v>
      </c>
      <c r="E9" s="27" t="str">
        <f>CONCATENATE('Catalogue Enrichi'!G9,"  MAD")</f>
        <v>3830  MAD</v>
      </c>
      <c r="F9" s="27">
        <f>'Catalogue Enrichi'!L9</f>
        <v>20</v>
      </c>
      <c r="G9" s="28" t="str">
        <f>HYPERLINK("https://devoteamlearning.udemy.com/course/service-management-itil-4/","Udemy")</f>
        <v>Udemy</v>
      </c>
      <c r="H9" s="28" t="str">
        <f>HYPERLINK("https://www.axelos.com/certifications/itil-service-management/itil-4-foundation","Officiel")</f>
        <v>Officiel</v>
      </c>
    </row>
    <row r="10" spans="1:8" x14ac:dyDescent="0.25">
      <c r="A10" s="26" t="str">
        <f>'Catalogue Enrichi'!C33</f>
        <v>TOGAF 10 Enterprise Architecture Foundation</v>
      </c>
      <c r="B10" s="27" t="str">
        <f>'Catalogue Enrichi'!D33</f>
        <v>TOGAF-10</v>
      </c>
      <c r="C10" s="35" t="str">
        <f>'Catalogue Enrichi'!N33</f>
        <v>Expert</v>
      </c>
      <c r="D10" s="34" t="str">
        <f>'Catalogue Enrichi'!K33</f>
        <v>OPTIONNEL</v>
      </c>
      <c r="E10" s="27" t="str">
        <f>CONCATENATE('Catalogue Enrichi'!G33,"  MAD")</f>
        <v>5950  MAD</v>
      </c>
      <c r="F10" s="27">
        <f>'Catalogue Enrichi'!L33</f>
        <v>80</v>
      </c>
      <c r="G10" s="28" t="str">
        <f>HYPERLINK("http://devoteamlearning.udemy.com/course/togaf-10-ea-foundation/","Udemy")</f>
        <v>Udemy</v>
      </c>
      <c r="H10" s="28" t="str">
        <f>HYPERLINK("https://www.opengroup.org/certifications/togaf","Officiel")</f>
        <v>Officiel</v>
      </c>
    </row>
    <row r="11" spans="1:8" x14ac:dyDescent="0.25">
      <c r="A11" s="26" t="str">
        <f>'Catalogue Enrichi'!C34</f>
        <v>Microsoft Azure AI Fundamentals</v>
      </c>
      <c r="B11" s="27" t="str">
        <f>'Catalogue Enrichi'!D34</f>
        <v>AI-900</v>
      </c>
      <c r="C11" s="30" t="str">
        <f>'Catalogue Enrichi'!N34</f>
        <v>Junior</v>
      </c>
      <c r="D11" s="31" t="str">
        <f>'Catalogue Enrichi'!K34</f>
        <v>RECOMMANDE</v>
      </c>
      <c r="E11" s="27" t="str">
        <f>CONCATENATE('Catalogue Enrichi'!G34,"  MAD")</f>
        <v>990  MAD</v>
      </c>
      <c r="F11" s="27">
        <f>'Catalogue Enrichi'!L34</f>
        <v>20</v>
      </c>
      <c r="G11" s="28" t="str">
        <f>HYPERLINK("https://devoteamlearning.udemy.com/course/ai900-azure/","Udemy")</f>
        <v>Udemy</v>
      </c>
      <c r="H11" s="28" t="str">
        <f>HYPERLINK("https://learn.microsoft.com/certifications/azure-ai-fundamentals/","Officiel")</f>
        <v>Officiel</v>
      </c>
    </row>
    <row r="12" spans="1:8" x14ac:dyDescent="0.25">
      <c r="A12" s="26" t="str">
        <f>'Catalogue Enrichi'!C35</f>
        <v>Microsoft Azure AI Engineer Associate</v>
      </c>
      <c r="B12" s="27" t="str">
        <f>'Catalogue Enrichi'!D35</f>
        <v>AI-102</v>
      </c>
      <c r="C12" s="32" t="str">
        <f>'Catalogue Enrichi'!N35</f>
        <v>Senior</v>
      </c>
      <c r="D12" s="31" t="str">
        <f>'Catalogue Enrichi'!K35</f>
        <v>RECOMMANDE</v>
      </c>
      <c r="E12" s="27" t="str">
        <f>CONCATENATE('Catalogue Enrichi'!G35,"  MAD")</f>
        <v>1650  MAD</v>
      </c>
      <c r="F12" s="27">
        <f>'Catalogue Enrichi'!L35</f>
        <v>60</v>
      </c>
      <c r="G12" s="28" t="str">
        <f>HYPERLINK("https://devoteamlearning.udemy.com/course/ai102-azure/","Udemy")</f>
        <v>Udemy</v>
      </c>
      <c r="H12" s="28" t="str">
        <f>HYPERLINK("https://learn.microsoft.com/certifications/azure-ai-engineer/","Officiel")</f>
        <v>Officiel</v>
      </c>
    </row>
    <row r="13" spans="1:8" x14ac:dyDescent="0.25">
      <c r="A13" s="26" t="str">
        <f>'Catalogue Enrichi'!C36</f>
        <v>CompTIA Security+</v>
      </c>
      <c r="B13" s="27" t="str">
        <f>'Catalogue Enrichi'!D36</f>
        <v>SY0-701</v>
      </c>
      <c r="C13" s="30" t="str">
        <f>'Catalogue Enrichi'!N36</f>
        <v>Junior</v>
      </c>
      <c r="D13" s="34" t="str">
        <f>'Catalogue Enrichi'!K36</f>
        <v>OPTIONNEL</v>
      </c>
      <c r="E13" s="27" t="str">
        <f>CONCATENATE('Catalogue Enrichi'!G36,"  MAD")</f>
        <v>4250  MAD</v>
      </c>
      <c r="F13" s="27">
        <f>'Catalogue Enrichi'!L36</f>
        <v>50</v>
      </c>
      <c r="G13" s="28" t="str">
        <f>HYPERLINK("https://devoteamlearning.udemy.com/course/securityplus/","Udemy")</f>
        <v>Udemy</v>
      </c>
      <c r="H13" s="28" t="str">
        <f>HYPERLINK("https://www.comptia.org/certifications/security","Officiel")</f>
        <v>Officiel</v>
      </c>
    </row>
    <row r="14" spans="1:8" x14ac:dyDescent="0.25">
      <c r="A14" s="26" t="str">
        <f>'Catalogue Enrichi'!C37</f>
        <v>Certified Ethical Hacker</v>
      </c>
      <c r="B14" s="27" t="str">
        <f>'Catalogue Enrichi'!D37</f>
        <v>CEH</v>
      </c>
      <c r="C14" s="33" t="str">
        <f>'Catalogue Enrichi'!N37</f>
        <v>Lead</v>
      </c>
      <c r="D14" s="34" t="str">
        <f>'Catalogue Enrichi'!K37</f>
        <v>OPTIONNEL</v>
      </c>
      <c r="E14" s="27" t="str">
        <f>CONCATENATE('Catalogue Enrichi'!G37,"  MAD")</f>
        <v>9500  MAD</v>
      </c>
      <c r="F14" s="27">
        <f>'Catalogue Enrichi'!L37</f>
        <v>100</v>
      </c>
      <c r="G14" s="28" t="str">
        <f>HYPERLINK("https://devoteamlearning.udemy.com/course/ceh-practical-complete-course-exam/","Udemy")</f>
        <v>Udemy</v>
      </c>
      <c r="H14" s="28" t="str">
        <f>HYPERLINK("https://www.eccouncil.org/programs/certified-ethical-hacker-ceh/","Officiel")</f>
        <v>Officiel</v>
      </c>
    </row>
    <row r="15" spans="1:8" x14ac:dyDescent="0.25">
      <c r="A15" s="26" t="str">
        <f>'Catalogue Enrichi'!C38</f>
        <v>Project Management Professional</v>
      </c>
      <c r="B15" s="27" t="str">
        <f>'Catalogue Enrichi'!D38</f>
        <v>PMP</v>
      </c>
      <c r="C15" s="36" t="str">
        <f>'Catalogue Enrichi'!N38</f>
        <v>Manager</v>
      </c>
      <c r="D15" s="34" t="str">
        <f>'Catalogue Enrichi'!K38</f>
        <v>OPTIONNEL</v>
      </c>
      <c r="E15" s="27" t="str">
        <f>CONCATENATE('Catalogue Enrichi'!G38,"  MAD")</f>
        <v>5550  MAD</v>
      </c>
      <c r="F15" s="27">
        <f>'Catalogue Enrichi'!L38</f>
        <v>100</v>
      </c>
      <c r="G15" s="28" t="str">
        <f>HYPERLINK("https://devoteamlearning.udemy.com/course/pmp-certification-exam-prep-course-pmbok-6th-edition/","Udemy")</f>
        <v>Udemy</v>
      </c>
      <c r="H15" s="28" t="str">
        <f>HYPERLINK("https://www.pmi.org/certifications/project-management-pmp","Officiel")</f>
        <v>Officiel</v>
      </c>
    </row>
    <row r="16" spans="1:8" x14ac:dyDescent="0.25">
      <c r="A16" s="26" t="str">
        <f>'Catalogue Enrichi'!C39</f>
        <v>Prince2 Practitioner</v>
      </c>
      <c r="B16" s="27" t="str">
        <f>'Catalogue Enrichi'!D39</f>
        <v>PRINCE2-P</v>
      </c>
      <c r="C16" s="36" t="str">
        <f>'Catalogue Enrichi'!N39</f>
        <v>Manager</v>
      </c>
      <c r="D16" s="34" t="str">
        <f>'Catalogue Enrichi'!K39</f>
        <v>OPTIONNEL</v>
      </c>
      <c r="E16" s="27" t="str">
        <f>CONCATENATE('Catalogue Enrichi'!G39,"  MAD")</f>
        <v>4000  MAD</v>
      </c>
      <c r="F16" s="27">
        <f>'Catalogue Enrichi'!L39</f>
        <v>40</v>
      </c>
      <c r="G16" s="28" t="str">
        <f>HYPERLINK("https://devoteamlearning.udemy.com/course/intro-project-management/","Udemy")</f>
        <v>Udemy</v>
      </c>
      <c r="H16" s="28" t="str">
        <f>HYPERLINK("https://www.axelos.com/certifications/propath/prince2-project-management/prince2-practitioner","Officiel")</f>
        <v>Officiel</v>
      </c>
    </row>
    <row r="17" spans="1:8" x14ac:dyDescent="0.25">
      <c r="A17" s="26" t="str">
        <f>'Catalogue Enrichi'!C40</f>
        <v>Certified ScrumMaster</v>
      </c>
      <c r="B17" s="27" t="str">
        <f>'Catalogue Enrichi'!D40</f>
        <v>CSM</v>
      </c>
      <c r="C17" s="36" t="str">
        <f>'Catalogue Enrichi'!N40</f>
        <v>Manager</v>
      </c>
      <c r="D17" s="31" t="str">
        <f>'Catalogue Enrichi'!K40</f>
        <v>RECOMMANDE</v>
      </c>
      <c r="E17" s="27" t="str">
        <f>CONCATENATE('Catalogue Enrichi'!G40,"  MAD")</f>
        <v>9950  MAD</v>
      </c>
      <c r="F17" s="27">
        <f>'Catalogue Enrichi'!L40</f>
        <v>16</v>
      </c>
      <c r="G17" s="28" t="str">
        <f>HYPERLINK("https://devoteamlearning.udemy.com/course/scrumrealworld/","Udemy")</f>
        <v>Udemy</v>
      </c>
      <c r="H17" s="28" t="str">
        <f>HYPERLINK("https://www.scrumalliance.org/get-certified/scrum-master-track/certified-scrummaster","Officiel")</f>
        <v>Officiel</v>
      </c>
    </row>
    <row r="18" spans="1:8" x14ac:dyDescent="0.25">
      <c r="A18" s="26" t="str">
        <f>'Catalogue Enrichi'!C49</f>
        <v>ISTQB Certified Tester Foundation Level</v>
      </c>
      <c r="B18" s="27" t="str">
        <f>'Catalogue Enrichi'!D49</f>
        <v>CTFL</v>
      </c>
      <c r="C18" s="30" t="str">
        <f>'Catalogue Enrichi'!N49</f>
        <v>Junior</v>
      </c>
      <c r="D18" s="29" t="str">
        <f>'Catalogue Enrichi'!K49</f>
        <v>OBLIGATOIRE</v>
      </c>
      <c r="E18" s="27" t="str">
        <f>CONCATENATE('Catalogue Enrichi'!G49,"  MAD")</f>
        <v>2290  MAD</v>
      </c>
      <c r="F18" s="27">
        <f>'Catalogue Enrichi'!L49</f>
        <v>40</v>
      </c>
      <c r="G18" s="28" t="str">
        <f>HYPERLINK("https://devoteamlearning.udemy.com/course/istqb-foundation-training/","Udemy")</f>
        <v>Udemy</v>
      </c>
      <c r="H18" s="28" t="str">
        <f>HYPERLINK("https://www.istqb.org/certifications/certified-tester-foundation-level","Officiel")</f>
        <v>Officiel</v>
      </c>
    </row>
    <row r="19" spans="1:8" x14ac:dyDescent="0.25">
      <c r="A19" s="26" t="str">
        <f>'Catalogue Enrichi'!C50</f>
        <v>ISTQB Test Automation Engineer</v>
      </c>
      <c r="B19" s="27" t="str">
        <f>'Catalogue Enrichi'!D50</f>
        <v>CT-TAE</v>
      </c>
      <c r="C19" s="32" t="str">
        <f>'Catalogue Enrichi'!N50</f>
        <v>Senior</v>
      </c>
      <c r="D19" s="29" t="str">
        <f>'Catalogue Enrichi'!K50</f>
        <v>OBLIGATOIRE</v>
      </c>
      <c r="E19" s="27" t="str">
        <f>CONCATENATE('Catalogue Enrichi'!G50,"  MAD")</f>
        <v>2490  MAD</v>
      </c>
      <c r="F19" s="27">
        <f>'Catalogue Enrichi'!L50</f>
        <v>50</v>
      </c>
      <c r="G19" s="28" t="str">
        <f>HYPERLINK("https://devoteamlearning.udemy.com/course/istqb-test-automation-engineer/","Udemy")</f>
        <v>Udemy</v>
      </c>
      <c r="H19" s="28" t="str">
        <f>HYPERLINK("https://www.istqb.org/certifications/test-automation-engineer","Officiel")</f>
        <v>Officiel</v>
      </c>
    </row>
    <row r="20" spans="1:8" x14ac:dyDescent="0.25">
      <c r="A20" s="26" t="str">
        <f>'Catalogue Enrichi'!C51</f>
        <v>Selenium WebDriver with Java</v>
      </c>
      <c r="B20" s="27" t="str">
        <f>'Catalogue Enrichi'!D51</f>
        <v>SELENIUM</v>
      </c>
      <c r="C20" s="32" t="str">
        <f>'Catalogue Enrichi'!N51</f>
        <v>Senior</v>
      </c>
      <c r="D20" s="29" t="str">
        <f>'Catalogue Enrichi'!K51</f>
        <v>OBLIGATOIRE</v>
      </c>
      <c r="E20" s="27" t="str">
        <f>CONCATENATE('Catalogue Enrichi'!G51,"  MAD")</f>
        <v>0  MAD</v>
      </c>
      <c r="F20" s="27">
        <f>'Catalogue Enrichi'!L51</f>
        <v>60</v>
      </c>
      <c r="G20" s="28" t="str">
        <f>HYPERLINK("https://devoteamlearning.udemy.com/course/selenium-real-time-examplesinterview-questions/","Udemy")</f>
        <v>Udemy</v>
      </c>
      <c r="H20" s="28" t="str">
        <f>HYPERLINK("https://www.selenium.dev/","Officiel")</f>
        <v>Officiel</v>
      </c>
    </row>
    <row r="21" spans="1:8" x14ac:dyDescent="0.25">
      <c r="A21" s="26" t="str">
        <f>'Catalogue Enrichi'!C52</f>
        <v>ISTQB Agile Tester</v>
      </c>
      <c r="B21" s="27" t="str">
        <f>'Catalogue Enrichi'!D52</f>
        <v>CT-AT</v>
      </c>
      <c r="C21" s="32" t="str">
        <f>'Catalogue Enrichi'!N52</f>
        <v>Senior</v>
      </c>
      <c r="D21" s="31" t="str">
        <f>'Catalogue Enrichi'!K52</f>
        <v>RECOMMANDE</v>
      </c>
      <c r="E21" s="27" t="str">
        <f>CONCATENATE('Catalogue Enrichi'!G52,"  MAD")</f>
        <v>1990  MAD</v>
      </c>
      <c r="F21" s="27">
        <f>'Catalogue Enrichi'!L52</f>
        <v>30</v>
      </c>
      <c r="G21" s="28" t="str">
        <f>HYPERLINK("https://devoteamlearning.udemy.com/course/istqb-agile-tester-certification/","Udemy")</f>
        <v>Udemy</v>
      </c>
      <c r="H21" s="28" t="str">
        <f>HYPERLINK("https://www.istqb.org/certifications/agile-tester","Officiel")</f>
        <v>Officiel</v>
      </c>
    </row>
    <row r="22" spans="1:8" x14ac:dyDescent="0.25">
      <c r="A22" s="26" t="str">
        <f>'Catalogue Enrichi'!C53</f>
        <v>Cypress End-to-End Testing</v>
      </c>
      <c r="B22" s="27" t="str">
        <f>'Catalogue Enrichi'!D53</f>
        <v>CYPRESS</v>
      </c>
      <c r="C22" s="32" t="str">
        <f>'Catalogue Enrichi'!N53</f>
        <v>Senior</v>
      </c>
      <c r="D22" s="31" t="str">
        <f>'Catalogue Enrichi'!K53</f>
        <v>RECOMMANDE</v>
      </c>
      <c r="E22" s="27" t="str">
        <f>CONCATENATE('Catalogue Enrichi'!G53,"  MAD")</f>
        <v>0  MAD</v>
      </c>
      <c r="F22" s="27">
        <f>'Catalogue Enrichi'!L53</f>
        <v>40</v>
      </c>
      <c r="G22" s="28" t="str">
        <f>HYPERLINK("https://devoteamlearning.udemy.com/course/cypress-io-master-class/","Udemy")</f>
        <v>Udemy</v>
      </c>
      <c r="H22" s="28" t="str">
        <f>HYPERLINK("https://www.cypress.io/","Officiel")</f>
        <v>Officiel</v>
      </c>
    </row>
    <row r="23" spans="1:8" x14ac:dyDescent="0.25">
      <c r="A23" s="26" t="str">
        <f>'Catalogue Enrichi'!C54</f>
        <v>Postman API Testing</v>
      </c>
      <c r="B23" s="27" t="str">
        <f>'Catalogue Enrichi'!D54</f>
        <v>POSTMAN</v>
      </c>
      <c r="C23" s="30" t="str">
        <f>'Catalogue Enrichi'!N54</f>
        <v>Junior</v>
      </c>
      <c r="D23" s="31" t="str">
        <f>'Catalogue Enrichi'!K54</f>
        <v>RECOMMANDE</v>
      </c>
      <c r="E23" s="27" t="str">
        <f>CONCATENATE('Catalogue Enrichi'!G54,"  MAD")</f>
        <v>0  MAD</v>
      </c>
      <c r="F23" s="27">
        <f>'Catalogue Enrichi'!L54</f>
        <v>20</v>
      </c>
      <c r="G23" s="28" t="str">
        <f>HYPERLINK("https://devoteamlearning.udemy.com/course/postman-the-complete-guide/","Udemy")</f>
        <v>Udemy</v>
      </c>
      <c r="H23" s="28" t="str">
        <f>HYPERLINK("https://www.postman.com/","Officiel")</f>
        <v>Officiel</v>
      </c>
    </row>
    <row r="24" spans="1:8" x14ac:dyDescent="0.25">
      <c r="A24" s="26" t="str">
        <f>'Catalogue Enrichi'!C55</f>
        <v>Apache JMeter Performance Testing</v>
      </c>
      <c r="B24" s="27" t="str">
        <f>'Catalogue Enrichi'!D55</f>
        <v>JMETER</v>
      </c>
      <c r="C24" s="32" t="str">
        <f>'Catalogue Enrichi'!N55</f>
        <v>Senior</v>
      </c>
      <c r="D24" s="31" t="str">
        <f>'Catalogue Enrichi'!K55</f>
        <v>RECOMMANDE</v>
      </c>
      <c r="E24" s="27" t="str">
        <f>CONCATENATE('Catalogue Enrichi'!G55,"  MAD")</f>
        <v>0  MAD</v>
      </c>
      <c r="F24" s="27">
        <f>'Catalogue Enrichi'!L55</f>
        <v>30</v>
      </c>
      <c r="G24" s="28" t="str">
        <f>HYPERLINK("https://devoteamlearning.udemy.com/course/learn-jmeter-from-scratch-performance-load-testing-tool/","Udemy")</f>
        <v>Udemy</v>
      </c>
      <c r="H24" s="28" t="str">
        <f>HYPERLINK("https://jmeter.apache.org/","Officiel")</f>
        <v>Officiel</v>
      </c>
    </row>
    <row r="25" spans="1:8" x14ac:dyDescent="0.25">
      <c r="A25" s="26" t="str">
        <f>'Catalogue Enrichi'!C56</f>
        <v>ISTQB Advanced Level Test Manager</v>
      </c>
      <c r="B25" s="27" t="str">
        <f>'Catalogue Enrichi'!D56</f>
        <v>CTAL-TM</v>
      </c>
      <c r="C25" s="33" t="str">
        <f>'Catalogue Enrichi'!N56</f>
        <v>Lead</v>
      </c>
      <c r="D25" s="34" t="str">
        <f>'Catalogue Enrichi'!K56</f>
        <v>OPTIONNEL</v>
      </c>
      <c r="E25" s="27" t="str">
        <f>CONCATENATE('Catalogue Enrichi'!G56,"  MAD")</f>
        <v>2490  MAD</v>
      </c>
      <c r="F25" s="27">
        <f>'Catalogue Enrichi'!L56</f>
        <v>80</v>
      </c>
      <c r="G25" s="28" t="str">
        <f>HYPERLINK("https://devoteamlearning.udemy.com/course/istqb-advanced-test-manager/","Udemy")</f>
        <v>Udemy</v>
      </c>
      <c r="H25" s="28" t="str">
        <f>HYPERLINK("https://www.istqb.org/certifications/test-manager","Officiel")</f>
        <v>Officiel</v>
      </c>
    </row>
  </sheetData>
  <mergeCells count="1">
    <mergeCell ref="A1:H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INSTRUCTIONS</vt:lpstr>
      <vt:lpstr>Parcours par Niveau</vt:lpstr>
      <vt:lpstr>Catalogue Enrichi</vt:lpstr>
      <vt:lpstr>Squad .NET</vt:lpstr>
      <vt:lpstr>Squad Java</vt:lpstr>
      <vt:lpstr>Squad DevOps</vt:lpstr>
      <vt:lpstr>Squad Data</vt:lpstr>
      <vt:lpstr>Squad QA-Testing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devo</cp:lastModifiedBy>
  <dcterms:created xsi:type="dcterms:W3CDTF">2025-10-24T14:02:03Z</dcterms:created>
  <dcterms:modified xsi:type="dcterms:W3CDTF">2026-02-12T13:55:31Z</dcterms:modified>
</cp:coreProperties>
</file>